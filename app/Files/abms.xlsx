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526"/>
  <workbookPr autoCompressPictures="0"/>
  <bookViews>
    <workbookView xWindow="0" yWindow="0" windowWidth="25600" windowHeight="16060" tabRatio="723"/>
  </bookViews>
  <sheets>
    <sheet name="P1" sheetId="1" r:id="rId1"/>
    <sheet name="P2" sheetId="8" r:id="rId2"/>
    <sheet name="P3" sheetId="9" r:id="rId3"/>
    <sheet name="P4" sheetId="10" r:id="rId4"/>
    <sheet name="P5" sheetId="11" r:id="rId5"/>
    <sheet name="P6" sheetId="12" r:id="rId6"/>
  </sheets>
  <definedNames>
    <definedName name="_xlnm.Print_Area" localSheetId="0">'P1'!$A$1:$Q$37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9" i="11" l="1"/>
  <c r="F9" i="11"/>
  <c r="C9" i="11"/>
  <c r="E29" i="10"/>
  <c r="D29" i="10"/>
  <c r="C29" i="10"/>
  <c r="D4" i="10"/>
  <c r="C4" i="10"/>
  <c r="B4" i="10"/>
  <c r="B19" i="9"/>
  <c r="D25" i="8"/>
  <c r="C25" i="8"/>
  <c r="B25" i="8"/>
  <c r="D6" i="8"/>
  <c r="C6" i="8"/>
  <c r="B6" i="8"/>
  <c r="P25" i="1"/>
  <c r="O25" i="1"/>
  <c r="N25" i="1"/>
  <c r="M25" i="1"/>
  <c r="L25" i="1"/>
  <c r="K25" i="1"/>
  <c r="J25" i="1"/>
  <c r="I25" i="1"/>
  <c r="H25" i="1"/>
  <c r="G25" i="1"/>
  <c r="F25" i="1"/>
  <c r="E25" i="1"/>
  <c r="P29" i="1"/>
  <c r="O29" i="1"/>
  <c r="N29" i="1"/>
  <c r="N27" i="1"/>
  <c r="K31" i="1"/>
  <c r="H31" i="1"/>
  <c r="E31" i="1"/>
  <c r="B31" i="1"/>
  <c r="C27" i="1"/>
  <c r="L27" i="1"/>
  <c r="L31" i="1"/>
  <c r="F27" i="1"/>
  <c r="F31" i="1"/>
  <c r="I27" i="1"/>
  <c r="N31" i="1"/>
  <c r="C31" i="1"/>
  <c r="D27" i="1"/>
  <c r="E41" i="10"/>
  <c r="C5" i="11"/>
  <c r="D41" i="10"/>
  <c r="O27" i="1"/>
  <c r="I31" i="1"/>
  <c r="J27" i="1"/>
  <c r="J31" i="1"/>
  <c r="G27" i="1"/>
  <c r="G31" i="1"/>
  <c r="M27" i="1"/>
  <c r="M31" i="1"/>
  <c r="K5" i="11"/>
  <c r="Q31" i="1"/>
  <c r="O31" i="1"/>
  <c r="P27" i="1"/>
  <c r="D31" i="1"/>
  <c r="P31" i="1"/>
  <c r="M15" i="11"/>
  <c r="F5" i="10"/>
  <c r="F32" i="8"/>
  <c r="F7" i="10"/>
  <c r="L15" i="11"/>
  <c r="F7" i="9"/>
  <c r="F6" i="9"/>
  <c r="D36" i="8"/>
  <c r="C36" i="8"/>
  <c r="D17" i="8"/>
  <c r="F30" i="8"/>
  <c r="L13" i="11"/>
  <c r="F9" i="8"/>
  <c r="L11" i="11"/>
  <c r="N15" i="11"/>
  <c r="L17" i="11"/>
  <c r="F23" i="10"/>
  <c r="F15" i="8"/>
  <c r="F11" i="8"/>
  <c r="M17" i="11"/>
  <c r="N13" i="11"/>
  <c r="F28" i="8"/>
  <c r="N11" i="11"/>
  <c r="M11" i="11"/>
  <c r="N17" i="11"/>
  <c r="M13" i="11"/>
  <c r="F34" i="8"/>
  <c r="F7" i="8"/>
  <c r="C17" i="8"/>
  <c r="F13" i="8"/>
  <c r="F26" i="8"/>
  <c r="B17" i="8"/>
  <c r="B36" i="8"/>
  <c r="F12" i="10"/>
  <c r="F17" i="8"/>
  <c r="F10" i="9"/>
  <c r="F36" i="8"/>
  <c r="C41" i="10"/>
</calcChain>
</file>

<file path=xl/sharedStrings.xml><?xml version="1.0" encoding="utf-8"?>
<sst xmlns="http://schemas.openxmlformats.org/spreadsheetml/2006/main" count="267" uniqueCount="227">
  <si>
    <t>SWD Form J2 (LSG)</t>
  </si>
  <si>
    <t>(Revised April 2002)</t>
  </si>
  <si>
    <t xml:space="preserve"> (All decimals should be rounded to 1 decimal place e.g. 2.45 rounded to 2.5, 2.44 rounded to 2.4)</t>
  </si>
  <si>
    <t>Output Standard 1 : Total number of new and renewed members (Note 1)</t>
  </si>
  <si>
    <t>(Agreed Level: 1400 in the year ending 31 March)</t>
  </si>
  <si>
    <t>Children Member</t>
  </si>
  <si>
    <t>(14 or Below)</t>
  </si>
  <si>
    <t>Youth Member</t>
  </si>
  <si>
    <t>Parent Member</t>
  </si>
  <si>
    <t>Total No.</t>
  </si>
  <si>
    <t>of Member</t>
  </si>
  <si>
    <t>Aged 15 to 24</t>
  </si>
  <si>
    <t>Aged 25 or Above</t>
  </si>
  <si>
    <t>Members</t>
  </si>
  <si>
    <t>Output Standard 2 : Total number of core programme sessions (Note 2)</t>
  </si>
  <si>
    <t>Month</t>
  </si>
  <si>
    <t>Types of programs</t>
  </si>
  <si>
    <t>Total/Average</t>
  </si>
  <si>
    <t>Guidance and counseling (group and activity)</t>
  </si>
  <si>
    <t>(i) = (a) + (b) + (c)</t>
  </si>
  <si>
    <t xml:space="preserve">(i)      </t>
  </si>
  <si>
    <r>
      <t xml:space="preserve">Guidance and counseling (case interview) </t>
    </r>
    <r>
      <rPr>
        <b/>
        <sz val="10"/>
        <rFont val="Times New Roman"/>
        <family val="1"/>
      </rPr>
      <t xml:space="preserve"> (Note 4)</t>
    </r>
  </si>
  <si>
    <t>(ii) = (a) + (b) + (c)</t>
  </si>
  <si>
    <t xml:space="preserve">(ii)   </t>
  </si>
  <si>
    <t>Supportive service for young people in</t>
  </si>
  <si>
    <t>Disadvantaged circumstances (iii) = (a) + (b) + (c)</t>
  </si>
  <si>
    <t xml:space="preserve">(iii)  </t>
  </si>
  <si>
    <t>Socialization programs</t>
  </si>
  <si>
    <t>(iv) = (a) + (b) + (c)</t>
  </si>
  <si>
    <t xml:space="preserve">(iv)  </t>
  </si>
  <si>
    <t>Development of social responsibility and</t>
  </si>
  <si>
    <t>Competence (v) = (a) + (b) + (c)</t>
  </si>
  <si>
    <t xml:space="preserve">(v)  </t>
  </si>
  <si>
    <t>Total (Output Standard 2)</t>
  </si>
  <si>
    <t>(i.e. (vi) = (i) + (ii) + (iii) + (iv) + (v)</t>
  </si>
  <si>
    <t xml:space="preserve">(vi) </t>
  </si>
  <si>
    <t xml:space="preserve">Output Standard 3 : Total core programme attendance </t>
  </si>
  <si>
    <t>Attendance</t>
  </si>
  <si>
    <t xml:space="preserve">(i)     </t>
  </si>
  <si>
    <t xml:space="preserve">(ii)  </t>
  </si>
  <si>
    <t>(iv)</t>
  </si>
  <si>
    <t>(v)</t>
  </si>
  <si>
    <t>(vi)</t>
  </si>
  <si>
    <t>* Social Workers referred to social workers at the rank of SWA, SSWA and ASWO.</t>
  </si>
  <si>
    <t>Format</t>
  </si>
  <si>
    <t>Core programmes/ Cases</t>
  </si>
  <si>
    <t>Total no. of core programs completed/case closed in the quarter (i) = (a) + (b) + (c)</t>
  </si>
  <si>
    <t xml:space="preserve">(i)   </t>
  </si>
  <si>
    <t>Service recipients/Workers</t>
  </si>
  <si>
    <t>Quarter</t>
  </si>
  <si>
    <t>Opening Sessions</t>
  </si>
  <si>
    <t>Average adjusted number of opening sessions per week</t>
  </si>
  <si>
    <t xml:space="preserve">(iv)   </t>
  </si>
  <si>
    <t>No. of Cases</t>
  </si>
  <si>
    <t>Type</t>
  </si>
  <si>
    <t>Total</t>
    <phoneticPr fontId="7" type="noConversion"/>
  </si>
  <si>
    <t>Note 8: Opening sessions refer to sessions that are open to public.</t>
    <phoneticPr fontId="7" type="noConversion"/>
  </si>
  <si>
    <t>No. of potential cases brought forward from last quarter (i)</t>
  </si>
  <si>
    <t>No. of new potential cases for the quarter (ii)</t>
  </si>
  <si>
    <t>Re-opened</t>
  </si>
  <si>
    <t>Nature</t>
  </si>
  <si>
    <t>Total no. of programs</t>
  </si>
  <si>
    <t>Total no. of program sessions</t>
  </si>
  <si>
    <t>Total no. of attendance</t>
  </si>
  <si>
    <t>Leadership training</t>
  </si>
  <si>
    <t>(Note 11)</t>
  </si>
  <si>
    <t>Volunteerism</t>
  </si>
  <si>
    <t>(Note 12)</t>
  </si>
  <si>
    <t>Community participation</t>
  </si>
  <si>
    <t xml:space="preserve"> (Note 13)</t>
  </si>
  <si>
    <t>Study/exchange program</t>
  </si>
  <si>
    <t>(Note 14)</t>
  </si>
  <si>
    <t>Post:</t>
  </si>
  <si>
    <t>Tel. No.:</t>
  </si>
  <si>
    <t>2322-0993</t>
  </si>
  <si>
    <t>Date:</t>
  </si>
  <si>
    <t>With a copy to concerned DSWO</t>
    <phoneticPr fontId="7" type="noConversion"/>
  </si>
  <si>
    <t>on or before 20th of April, July, October and January)</t>
    <phoneticPr fontId="7" type="noConversion"/>
  </si>
  <si>
    <t xml:space="preserve">     Movement of Cases</t>
  </si>
  <si>
    <t>(i)  No. of Cases Brought Forward from Last Quarter</t>
  </si>
  <si>
    <t>(ii)  No. of New Cases for the Quarter</t>
  </si>
  <si>
    <t>(iii)  No. of Cases Closed for the Quarter</t>
  </si>
  <si>
    <t>(iv)  Total No. of Cases to be Brought Forward to Next Quarter [i.e. (i) + (ii) – (iii)]</t>
  </si>
  <si>
    <t xml:space="preserve">**     </t>
  </si>
  <si>
    <t>( c )</t>
    <phoneticPr fontId="7" type="noConversion"/>
  </si>
  <si>
    <t>( b )</t>
    <phoneticPr fontId="7" type="noConversion"/>
  </si>
  <si>
    <t xml:space="preserve"> ( a )</t>
    <phoneticPr fontId="7" type="noConversion"/>
  </si>
  <si>
    <t>C. SUPPLEMENTARY INFORMATION</t>
    <phoneticPr fontId="7" type="noConversion"/>
  </si>
  <si>
    <t>** The figures of these 2 columns should tally.</t>
    <phoneticPr fontId="7" type="noConversion"/>
  </si>
  <si>
    <t>( a )</t>
    <phoneticPr fontId="7" type="noConversion"/>
  </si>
  <si>
    <t xml:space="preserve">Supportive service for young people in </t>
  </si>
  <si>
    <t xml:space="preserve">     Guidance and counseling (group and activity)</t>
    <phoneticPr fontId="7" type="noConversion"/>
  </si>
  <si>
    <t xml:space="preserve">     Guidance and counseling (case interview)</t>
    <phoneticPr fontId="7" type="noConversion"/>
  </si>
  <si>
    <t>(iii)</t>
    <phoneticPr fontId="7" type="noConversion"/>
  </si>
  <si>
    <t>Disadvantaged circumstances (iii) = (a) + (b) + ( c )</t>
    <phoneticPr fontId="7" type="noConversion"/>
  </si>
  <si>
    <t xml:space="preserve">     (iv) = (a) + (b) + ( c )</t>
    <phoneticPr fontId="7" type="noConversion"/>
  </si>
  <si>
    <t xml:space="preserve">      Development of social responsibility and</t>
    <phoneticPr fontId="7" type="noConversion"/>
  </si>
  <si>
    <t>the quarter (Note 7)</t>
  </si>
  <si>
    <t>iii. Potential Case Statistics</t>
    <phoneticPr fontId="7" type="noConversion"/>
  </si>
  <si>
    <t>C. Supplementary Information:  Youth Development Programmes Organized (Note 10)</t>
    <phoneticPr fontId="7" type="noConversion"/>
  </si>
  <si>
    <t>(v) = (i) + (ii) – (iii) – (iv)</t>
    <phoneticPr fontId="7" type="noConversion"/>
  </si>
  <si>
    <t>Total number of potential cases to be brought forward to the next quarter</t>
    <phoneticPr fontId="7" type="noConversion"/>
  </si>
  <si>
    <t xml:space="preserve">Note 11: Leadership training programs refer to structured training programs with the objective to develop the leadership, </t>
    <phoneticPr fontId="7" type="noConversion"/>
  </si>
  <si>
    <t xml:space="preserve">Note 12: Volunteerism refers to programs which could provide opportunities to the young people to serve others in the </t>
    <phoneticPr fontId="7" type="noConversion"/>
  </si>
  <si>
    <t>No. of potential case</t>
    <phoneticPr fontId="7" type="noConversion"/>
  </si>
  <si>
    <t xml:space="preserve"> transferred (iii)</t>
  </si>
  <si>
    <t xml:space="preserve">No. pf potential case </t>
    <phoneticPr fontId="7" type="noConversion"/>
  </si>
  <si>
    <t>terminated (iv)</t>
  </si>
  <si>
    <t xml:space="preserve">                  interpersonal communication and problem-solving skills of the young people.</t>
    <phoneticPr fontId="7" type="noConversion"/>
  </si>
  <si>
    <t>Brand New</t>
    <phoneticPr fontId="7" type="noConversion"/>
  </si>
  <si>
    <t xml:space="preserve">  </t>
    <phoneticPr fontId="7" type="noConversion"/>
  </si>
  <si>
    <t xml:space="preserve"> Enclosure IV</t>
    <phoneticPr fontId="7" type="noConversion"/>
  </si>
  <si>
    <r>
      <t xml:space="preserve">DSWO: </t>
    </r>
    <r>
      <rPr>
        <u/>
        <sz val="10"/>
        <color indexed="8"/>
        <rFont val="Times New Roman"/>
        <family val="1"/>
      </rPr>
      <t>Wong Tai Sin</t>
    </r>
    <r>
      <rPr>
        <sz val="10"/>
        <color indexed="8"/>
        <rFont val="Times New Roman"/>
        <family val="1"/>
      </rPr>
      <t xml:space="preserve"> (District)</t>
    </r>
  </si>
  <si>
    <t>Integrated Team of Young People Services</t>
    <phoneticPr fontId="7" type="noConversion"/>
  </si>
  <si>
    <t>(for Lumps Sum Grant agencies)</t>
    <phoneticPr fontId="7" type="noConversion"/>
  </si>
  <si>
    <t>(to be submitted in triplicate to Service Performance Section</t>
    <phoneticPr fontId="7" type="noConversion"/>
  </si>
  <si>
    <t>Collectively through head office of respective agency</t>
    <phoneticPr fontId="7" type="noConversion"/>
  </si>
  <si>
    <r>
      <t>A.</t>
    </r>
    <r>
      <rPr>
        <b/>
        <sz val="7"/>
        <color indexed="8"/>
        <rFont val="Times New Roman"/>
        <family val="1"/>
      </rPr>
      <t xml:space="preserve">  </t>
    </r>
    <r>
      <rPr>
        <b/>
        <sz val="10"/>
        <color indexed="8"/>
        <rFont val="Times New Roman"/>
        <family val="1"/>
      </rPr>
      <t xml:space="preserve">STATISTICS ON OUTPUT STANDARDS </t>
    </r>
    <phoneticPr fontId="7" type="noConversion"/>
  </si>
  <si>
    <t>Month</t>
    <phoneticPr fontId="7" type="noConversion"/>
  </si>
  <si>
    <r>
      <t xml:space="preserve">Number of schools with stationing school social work service provided by the Team: </t>
    </r>
    <r>
      <rPr>
        <u/>
        <sz val="10"/>
        <color indexed="8"/>
        <rFont val="Times New Roman"/>
        <family val="1"/>
      </rPr>
      <t xml:space="preserve"> 1                             </t>
    </r>
    <phoneticPr fontId="7" type="noConversion"/>
  </si>
  <si>
    <t>i.Total no. of new and renewed members b/f from past period</t>
    <phoneticPr fontId="7" type="noConversion"/>
  </si>
  <si>
    <t>iii.Total no. of new and renewed members at the end of period       (Output Standard 1)                         (i.e.i + ii )</t>
    <phoneticPr fontId="7" type="noConversion"/>
  </si>
  <si>
    <t>Note 1: Only those members recruited or renewed during the period of 1 April - 31 March should be reported.  The column "Total</t>
    <phoneticPr fontId="7" type="noConversion"/>
  </si>
  <si>
    <t xml:space="preserve">            number of new and renewed members b/f from past period" should therefore be blank in April, the first month of the</t>
    <phoneticPr fontId="7" type="noConversion"/>
  </si>
  <si>
    <t xml:space="preserve">            financial year.  The indicator would only be evaluated at the end of the financial year when the total figure is available.</t>
    <phoneticPr fontId="7" type="noConversion"/>
  </si>
  <si>
    <t xml:space="preserve">    </t>
    <phoneticPr fontId="7" type="noConversion"/>
  </si>
  <si>
    <r>
      <t>ii.</t>
    </r>
    <r>
      <rPr>
        <sz val="7"/>
        <color indexed="8"/>
        <rFont val="Times New Roman"/>
        <family val="1"/>
      </rPr>
      <t xml:space="preserve"> </t>
    </r>
    <r>
      <rPr>
        <sz val="10"/>
        <color indexed="8"/>
        <rFont val="Times New Roman"/>
        <family val="1"/>
      </rPr>
      <t>No. of new members and renewed members</t>
    </r>
    <phoneticPr fontId="7" type="noConversion"/>
  </si>
  <si>
    <t>[Agreed Level: 280 x (establishment of social workers* of the team as at 1.4.2000) within one year] (Note 3)</t>
    <phoneticPr fontId="7" type="noConversion"/>
  </si>
  <si>
    <t>Number of Core Program Sessions</t>
  </si>
  <si>
    <t>[Agreed Level: 2,800 x (establishment of social workers* of the team as at 1.4.2000) within one year] (Note 3)</t>
    <phoneticPr fontId="7" type="noConversion"/>
  </si>
  <si>
    <t xml:space="preserve"> Competence (v) = (a) + (b) + (c)</t>
    <phoneticPr fontId="7" type="noConversion"/>
  </si>
  <si>
    <t xml:space="preserve"> (vi = i + ii + iii + iv + v)</t>
    <phoneticPr fontId="7" type="noConversion"/>
  </si>
  <si>
    <t>.</t>
    <phoneticPr fontId="7" type="noConversion"/>
  </si>
  <si>
    <t>Note 2: Core program should be made up of groups, activities and interviews.</t>
    <phoneticPr fontId="7" type="noConversion"/>
  </si>
  <si>
    <t xml:space="preserve">Note 3: 1.4.2000 is the date for the snapshot of establishment of social worker of the unit/agency when the agency declares </t>
    <phoneticPr fontId="7" type="noConversion"/>
  </si>
  <si>
    <t xml:space="preserve">             options of the lump sum grant.  This establishment would be the basis to calculate the Output Standards.  However, </t>
    <phoneticPr fontId="7" type="noConversion"/>
  </si>
  <si>
    <t xml:space="preserve">             when there is formation, expansion or reduction of the service during the year or after 1.4.2000, the </t>
    <phoneticPr fontId="7" type="noConversion"/>
  </si>
  <si>
    <t xml:space="preserve">             establishment of social worker as a result of formation, expansion or reduction would be recognized instead.</t>
    <phoneticPr fontId="7" type="noConversion"/>
  </si>
  <si>
    <t>Note 4: For calculation purpose 1 case interview is equivalent to 1 core program session (cases only refer to those with</t>
    <phoneticPr fontId="7" type="noConversion"/>
  </si>
  <si>
    <t xml:space="preserve">              treatment plans and case records).</t>
    <phoneticPr fontId="7" type="noConversion"/>
  </si>
  <si>
    <t>Output Standard 4 : Rate (%) of achieving core program plans (Note 5)</t>
    <phoneticPr fontId="7" type="noConversion"/>
  </si>
  <si>
    <t xml:space="preserve">                                           (Agreed Level: 85% within one year)</t>
    <phoneticPr fontId="7" type="noConversion"/>
  </si>
  <si>
    <t>Groups ( a )</t>
    <phoneticPr fontId="7" type="noConversion"/>
  </si>
  <si>
    <t>Activities ( b )</t>
    <phoneticPr fontId="7" type="noConversion"/>
  </si>
  <si>
    <t>Cases ( c )</t>
    <phoneticPr fontId="7" type="noConversion"/>
  </si>
  <si>
    <t xml:space="preserve">     Total no. of core programs completed/case closed with</t>
    <phoneticPr fontId="7" type="noConversion"/>
  </si>
  <si>
    <t xml:space="preserve">     goals achieved in the quarter</t>
    <phoneticPr fontId="7" type="noConversion"/>
  </si>
  <si>
    <t xml:space="preserve">     (ii) = (a) + (b) + (c)</t>
    <phoneticPr fontId="7" type="noConversion"/>
  </si>
  <si>
    <t xml:space="preserve">     Rate of (%) of achieving core program plans</t>
    <phoneticPr fontId="7" type="noConversion"/>
  </si>
  <si>
    <r>
      <t xml:space="preserve">     (Output Standard 4) (iii) = </t>
    </r>
    <r>
      <rPr>
        <u/>
        <sz val="10"/>
        <color indexed="8"/>
        <rFont val="Times New Roman"/>
        <family val="1"/>
      </rPr>
      <t>(ii)</t>
    </r>
    <r>
      <rPr>
        <sz val="10"/>
        <color indexed="8"/>
        <rFont val="Times New Roman"/>
        <family val="1"/>
      </rPr>
      <t xml:space="preserve"> x 100%)</t>
    </r>
    <phoneticPr fontId="7" type="noConversion"/>
  </si>
  <si>
    <t xml:space="preserve">                                                    (i)</t>
    <phoneticPr fontId="7" type="noConversion"/>
  </si>
  <si>
    <t>Output Standard 5 : Total number of service recipients at any one time (Note 6)</t>
    <phoneticPr fontId="7" type="noConversion"/>
  </si>
  <si>
    <t xml:space="preserve">            [Agreed Level: 45 x (establishment of social workers* of the team as at 1.4.2000) within one year] (Note 3)</t>
    <phoneticPr fontId="7" type="noConversion"/>
  </si>
  <si>
    <t xml:space="preserve">Total number of service recipients served by the unit in </t>
    <phoneticPr fontId="7" type="noConversion"/>
  </si>
  <si>
    <t>Note 5: (a) The following core programmes/cases (including joint programs/shared cases) should be reported:</t>
    <phoneticPr fontId="7" type="noConversion"/>
  </si>
  <si>
    <t xml:space="preserve">                  (i) Activities/ groups completed/terminated during the reporting period;</t>
    <phoneticPr fontId="7" type="noConversion"/>
  </si>
  <si>
    <t xml:space="preserve">                  (ii) Cases closed during the reporting period (cases only refer to those with treatment plans and case records).</t>
    <phoneticPr fontId="7" type="noConversion"/>
  </si>
  <si>
    <t xml:space="preserve">                 (iii) Ongoing activities/groups/cases which have been run/handled for 3 months or more as at 31 March should also </t>
    <phoneticPr fontId="7" type="noConversion"/>
  </si>
  <si>
    <t xml:space="preserve">                       be reported in the quarter of 1 January – 31 March.</t>
    <phoneticPr fontId="7" type="noConversion"/>
  </si>
  <si>
    <t xml:space="preserve">             (b) For the purpose of this reporting, core programs completed/cases closed and ongoing core programs/cases which </t>
    <phoneticPr fontId="7" type="noConversion"/>
  </si>
  <si>
    <t xml:space="preserve">                   have been run/handled for 3 months or more as at 31 March must either be classified as “with goals achieved” or </t>
    <phoneticPr fontId="7" type="noConversion"/>
  </si>
  <si>
    <t xml:space="preserve">                  “with goals not achieved”</t>
    <phoneticPr fontId="7" type="noConversion"/>
  </si>
  <si>
    <t>Note 6: For the purpose of this reporting, “at any one time” is calculated on quarterly basis.</t>
    <phoneticPr fontId="7" type="noConversion"/>
  </si>
  <si>
    <t xml:space="preserve">Note 7: Total number of service recipients served by the unit refers to the sum of the number of service recipients served by </t>
    <phoneticPr fontId="7" type="noConversion"/>
  </si>
  <si>
    <t xml:space="preserve">              each individual worker of the unit.  Any individual service recipients served by more than one worker in the quarter</t>
    <phoneticPr fontId="7" type="noConversion"/>
  </si>
  <si>
    <t xml:space="preserve">              should only be counted as one.  “Service recipients” (including children and youth, their parents, their significant</t>
    <phoneticPr fontId="7" type="noConversion"/>
  </si>
  <si>
    <t xml:space="preserve">               others etc.) Should (i) be networked through core programs; (ii) participated in at least 3 core program/interview</t>
    <phoneticPr fontId="7" type="noConversion"/>
  </si>
  <si>
    <t xml:space="preserve">               sessions per quarter </t>
    <phoneticPr fontId="7" type="noConversion"/>
  </si>
  <si>
    <t xml:space="preserve">               (Case interview should include interview with principal clients and their significant systems, cojoint interview, </t>
    <phoneticPr fontId="7" type="noConversion"/>
  </si>
  <si>
    <t xml:space="preserve">               purposeful telephone interviews, escorts and home visits).</t>
    <phoneticPr fontId="7" type="noConversion"/>
  </si>
  <si>
    <t xml:space="preserve">B. Average Opening sessions per week in the quarter (Note 8) </t>
    <phoneticPr fontId="7" type="noConversion"/>
  </si>
  <si>
    <r>
      <t xml:space="preserve">Regular opening days per week </t>
    </r>
    <r>
      <rPr>
        <b/>
        <sz val="10"/>
        <color indexed="8"/>
        <rFont val="Times New Roman"/>
        <family val="1"/>
      </rPr>
      <t>(Note 9)</t>
    </r>
    <phoneticPr fontId="7" type="noConversion"/>
  </si>
  <si>
    <r>
      <t>(iii) =</t>
    </r>
    <r>
      <rPr>
        <sz val="8"/>
        <color indexed="8"/>
        <rFont val="Times New Roman"/>
        <family val="1"/>
      </rPr>
      <t xml:space="preserve"> </t>
    </r>
    <r>
      <rPr>
        <u/>
        <sz val="8"/>
        <color indexed="8"/>
        <rFont val="Times New Roman"/>
        <family val="1"/>
      </rPr>
      <t>(a + b + c)</t>
    </r>
    <phoneticPr fontId="7" type="noConversion"/>
  </si>
  <si>
    <r>
      <t xml:space="preserve">[i.e. </t>
    </r>
    <r>
      <rPr>
        <u/>
        <sz val="8"/>
        <color indexed="8"/>
        <rFont val="Times New Roman"/>
        <family val="1"/>
      </rPr>
      <t>(i)</t>
    </r>
    <r>
      <rPr>
        <sz val="8"/>
        <color indexed="8"/>
        <rFont val="Times New Roman"/>
        <family val="1"/>
      </rPr>
      <t xml:space="preserve"> x (iii)</t>
    </r>
    <r>
      <rPr>
        <sz val="10"/>
        <color indexed="8"/>
        <rFont val="Times New Roman"/>
        <family val="1"/>
      </rPr>
      <t>]</t>
    </r>
  </si>
  <si>
    <r>
      <t xml:space="preserve">   </t>
    </r>
    <r>
      <rPr>
        <sz val="9"/>
        <color indexed="8"/>
        <rFont val="Times New Roman"/>
        <family val="1"/>
      </rPr>
      <t xml:space="preserve">    (ii</t>
    </r>
    <r>
      <rPr>
        <sz val="8"/>
        <color indexed="8"/>
        <rFont val="Times New Roman"/>
        <family val="1"/>
      </rPr>
      <t>)</t>
    </r>
    <phoneticPr fontId="7" type="noConversion"/>
  </si>
  <si>
    <r>
      <t>i.</t>
    </r>
    <r>
      <rPr>
        <b/>
        <sz val="7"/>
        <color indexed="8"/>
        <rFont val="Times New Roman"/>
        <family val="1"/>
      </rPr>
      <t xml:space="preserve">       </t>
    </r>
    <r>
      <rPr>
        <b/>
        <sz val="10"/>
        <color indexed="8"/>
        <rFont val="Times New Roman"/>
        <family val="1"/>
      </rPr>
      <t>Caseload</t>
    </r>
  </si>
  <si>
    <r>
      <t xml:space="preserve">           ii.</t>
    </r>
    <r>
      <rPr>
        <b/>
        <sz val="7"/>
        <color indexed="8"/>
        <rFont val="Times New Roman"/>
        <family val="1"/>
      </rPr>
      <t xml:space="preserve">       </t>
    </r>
    <r>
      <rPr>
        <b/>
        <u/>
        <sz val="10"/>
        <color indexed="8"/>
        <rFont val="Times New Roman"/>
        <family val="1"/>
      </rPr>
      <t>Nature of main problem of cases (one case one main problem)</t>
    </r>
    <phoneticPr fontId="7" type="noConversion"/>
  </si>
  <si>
    <r>
      <t>1.</t>
    </r>
    <r>
      <rPr>
        <sz val="7"/>
        <color indexed="8"/>
        <rFont val="Times New Roman"/>
        <family val="1"/>
      </rPr>
      <t xml:space="preserve">          </t>
    </r>
    <r>
      <rPr>
        <sz val="10"/>
        <color indexed="8"/>
        <rFont val="Times New Roman"/>
        <family val="1"/>
      </rPr>
      <t>Health Problem</t>
    </r>
  </si>
  <si>
    <r>
      <t>2.</t>
    </r>
    <r>
      <rPr>
        <sz val="7"/>
        <color indexed="8"/>
        <rFont val="Times New Roman"/>
        <family val="1"/>
      </rPr>
      <t xml:space="preserve">          </t>
    </r>
    <r>
      <rPr>
        <sz val="10"/>
        <color indexed="8"/>
        <rFont val="Times New Roman"/>
        <family val="1"/>
      </rPr>
      <t>Schooling / Education Problem</t>
    </r>
  </si>
  <si>
    <r>
      <t>3.</t>
    </r>
    <r>
      <rPr>
        <sz val="7"/>
        <color indexed="8"/>
        <rFont val="Times New Roman"/>
        <family val="1"/>
      </rPr>
      <t xml:space="preserve">          </t>
    </r>
    <r>
      <rPr>
        <sz val="10"/>
        <color indexed="8"/>
        <rFont val="Times New Roman"/>
        <family val="1"/>
      </rPr>
      <t>Vocation</t>
    </r>
  </si>
  <si>
    <r>
      <t>4.</t>
    </r>
    <r>
      <rPr>
        <sz val="7"/>
        <color indexed="8"/>
        <rFont val="Times New Roman"/>
        <family val="1"/>
      </rPr>
      <t xml:space="preserve">          </t>
    </r>
    <r>
      <rPr>
        <sz val="10"/>
        <color indexed="8"/>
        <rFont val="Times New Roman"/>
        <family val="1"/>
      </rPr>
      <t>Peer Relationship Problem</t>
    </r>
    <phoneticPr fontId="7" type="noConversion"/>
  </si>
  <si>
    <r>
      <t>5.</t>
    </r>
    <r>
      <rPr>
        <sz val="7"/>
        <color indexed="8"/>
        <rFont val="Times New Roman"/>
        <family val="1"/>
      </rPr>
      <t xml:space="preserve">          </t>
    </r>
    <r>
      <rPr>
        <sz val="10"/>
        <color indexed="8"/>
        <rFont val="Times New Roman"/>
        <family val="1"/>
      </rPr>
      <t>Developmental Adjustment Problem</t>
    </r>
    <phoneticPr fontId="7" type="noConversion"/>
  </si>
  <si>
    <r>
      <t>6.</t>
    </r>
    <r>
      <rPr>
        <sz val="7"/>
        <color indexed="8"/>
        <rFont val="Times New Roman"/>
        <family val="1"/>
      </rPr>
      <t xml:space="preserve">          </t>
    </r>
    <r>
      <rPr>
        <sz val="10"/>
        <color indexed="8"/>
        <rFont val="Times New Roman"/>
        <family val="1"/>
      </rPr>
      <t>Emotional Problem</t>
    </r>
    <phoneticPr fontId="7" type="noConversion"/>
  </si>
  <si>
    <r>
      <t>7.</t>
    </r>
    <r>
      <rPr>
        <sz val="7"/>
        <color indexed="8"/>
        <rFont val="Times New Roman"/>
        <family val="1"/>
      </rPr>
      <t xml:space="preserve">          </t>
    </r>
    <r>
      <rPr>
        <sz val="10"/>
        <color indexed="8"/>
        <rFont val="Times New Roman"/>
        <family val="1"/>
      </rPr>
      <t>Sex-related Problem</t>
    </r>
    <phoneticPr fontId="7" type="noConversion"/>
  </si>
  <si>
    <r>
      <t>8.</t>
    </r>
    <r>
      <rPr>
        <sz val="7"/>
        <color indexed="8"/>
        <rFont val="Times New Roman"/>
        <family val="1"/>
      </rPr>
      <t xml:space="preserve">          </t>
    </r>
    <r>
      <rPr>
        <sz val="10"/>
        <color indexed="8"/>
        <rFont val="Times New Roman"/>
        <family val="1"/>
      </rPr>
      <t>Behavioural Problem</t>
    </r>
    <phoneticPr fontId="7" type="noConversion"/>
  </si>
  <si>
    <r>
      <t>9.</t>
    </r>
    <r>
      <rPr>
        <sz val="7"/>
        <color indexed="8"/>
        <rFont val="Times New Roman"/>
        <family val="1"/>
      </rPr>
      <t xml:space="preserve">          </t>
    </r>
    <r>
      <rPr>
        <sz val="10"/>
        <color indexed="8"/>
        <rFont val="Times New Roman"/>
        <family val="1"/>
      </rPr>
      <t>Family Problem</t>
    </r>
    <phoneticPr fontId="7" type="noConversion"/>
  </si>
  <si>
    <r>
      <t>10.</t>
    </r>
    <r>
      <rPr>
        <sz val="7"/>
        <color indexed="8"/>
        <rFont val="Times New Roman"/>
        <family val="1"/>
      </rPr>
      <t xml:space="preserve">          </t>
    </r>
    <r>
      <rPr>
        <sz val="10"/>
        <color indexed="8"/>
        <rFont val="Times New Roman"/>
        <family val="1"/>
      </rPr>
      <t>Others</t>
    </r>
    <phoneticPr fontId="7" type="noConversion"/>
  </si>
  <si>
    <t xml:space="preserve">Note 9: The normal opening days of the centre per week irrespective of public holidays/block leave, e.g. 6 normal </t>
    <phoneticPr fontId="7" type="noConversion"/>
  </si>
  <si>
    <t xml:space="preserve">            opening days per week.  If the number of opening days per week in a particular month is varied, please take</t>
    <phoneticPr fontId="7" type="noConversion"/>
  </si>
  <si>
    <t xml:space="preserve">            the average number.</t>
    <phoneticPr fontId="7" type="noConversion"/>
  </si>
  <si>
    <t>Note 10: The programs reported in this column could be overlapped with the programs reported in other columns of this</t>
    <phoneticPr fontId="7" type="noConversion"/>
  </si>
  <si>
    <t xml:space="preserve">                form.  Each program should only be entered once in this table.</t>
    <phoneticPr fontId="7" type="noConversion"/>
  </si>
  <si>
    <t xml:space="preserve">                  community and in the process, enable young people to acquire leadership skills, learn how to work with </t>
    <phoneticPr fontId="7" type="noConversion"/>
  </si>
  <si>
    <t xml:space="preserve">                  others, understand the needs of others and to cope with success and failure.</t>
    <phoneticPr fontId="7" type="noConversion"/>
  </si>
  <si>
    <t>Note 13: Community participation programs refer to those programs which could foster civic-awareness among the</t>
    <phoneticPr fontId="7" type="noConversion"/>
  </si>
  <si>
    <t xml:space="preserve">                  young people or provide opportunities for them to participate in community’s affairs.</t>
    <phoneticPr fontId="7" type="noConversion"/>
  </si>
  <si>
    <t>Note 14: Study/exchange programs refer to those programs which could facilitate the youths to learn more about</t>
    <phoneticPr fontId="7" type="noConversion"/>
  </si>
  <si>
    <t xml:space="preserve">                   mainland China and develop a better understanding of Chinese culture and heritage.  Other</t>
    <phoneticPr fontId="7" type="noConversion"/>
  </si>
  <si>
    <t xml:space="preserve">                   international youth exchange programs facilitating the youths to learn to interact with other</t>
    <phoneticPr fontId="7" type="noConversion"/>
  </si>
  <si>
    <t xml:space="preserve">                    nationals and to respect their culture should be excluded.</t>
    <phoneticPr fontId="7" type="noConversion"/>
  </si>
  <si>
    <t xml:space="preserve">D  STAFF STATISTICS </t>
    <phoneticPr fontId="7" type="noConversion"/>
  </si>
  <si>
    <t>Establishments/Strength as at end of period</t>
    <phoneticPr fontId="7" type="noConversion"/>
  </si>
  <si>
    <t>(Please provide full particulars when you are completing this form for the first quarter of the</t>
    <phoneticPr fontId="7" type="noConversion"/>
  </si>
  <si>
    <t xml:space="preserve"> financial year, whenever there are staff changes. If staff statistics remain the same as </t>
    <phoneticPr fontId="7" type="noConversion"/>
  </si>
  <si>
    <t>the preceding quarter, please enter no change across the table.)</t>
    <phoneticPr fontId="7" type="noConversion"/>
  </si>
  <si>
    <t>Rank</t>
  </si>
  <si>
    <t>Post</t>
  </si>
  <si>
    <t>Establishment</t>
  </si>
  <si>
    <t>Strength</t>
  </si>
  <si>
    <t>Vacancy</t>
  </si>
  <si>
    <t>Remarks</t>
  </si>
  <si>
    <t xml:space="preserve">NO </t>
  </si>
  <si>
    <t>CHANGE</t>
  </si>
  <si>
    <r>
      <t xml:space="preserve">E. ADDITIONAL INFORMATION </t>
    </r>
    <r>
      <rPr>
        <sz val="12"/>
        <rFont val="Times New Roman"/>
        <family val="1"/>
      </rPr>
      <t>(e.g. significant activities, major planned programmes, etc.</t>
    </r>
    <phoneticPr fontId="7" type="noConversion"/>
  </si>
  <si>
    <t xml:space="preserve">      (Note: Please use additional paper for this section if necessary.)</t>
    <phoneticPr fontId="7" type="noConversion"/>
  </si>
  <si>
    <t>Prepared by:</t>
    <phoneticPr fontId="7" type="noConversion"/>
  </si>
  <si>
    <t>Prepared by :</t>
    <phoneticPr fontId="7" type="noConversion"/>
  </si>
  <si>
    <r>
      <t>Total number of opening sessions of the month</t>
    </r>
    <r>
      <rPr>
        <sz val="10"/>
        <color indexed="8"/>
        <rFont val="Times New Roman"/>
        <family val="1"/>
      </rPr>
      <t xml:space="preserve">              </t>
    </r>
    <phoneticPr fontId="7" type="noConversion"/>
  </si>
  <si>
    <r>
      <t>Total number of opening days of the month</t>
    </r>
    <r>
      <rPr>
        <sz val="10"/>
        <color indexed="8"/>
        <rFont val="Times New Roman"/>
        <family val="1"/>
      </rPr>
      <t xml:space="preserve">                    </t>
    </r>
    <phoneticPr fontId="7" type="noConversion"/>
  </si>
  <si>
    <r>
      <t>Total Student Population of these Schools:527</t>
    </r>
    <r>
      <rPr>
        <u/>
        <sz val="10"/>
        <color indexed="8"/>
        <rFont val="Times New Roman"/>
        <family val="1"/>
      </rPr>
      <t xml:space="preserve">                                                                                      </t>
    </r>
    <phoneticPr fontId="7" type="noConversion"/>
  </si>
  <si>
    <t>Chung Sze Ling</t>
    <phoneticPr fontId="7" type="noConversion"/>
  </si>
  <si>
    <t>Programme Staff</t>
    <phoneticPr fontId="7" type="noConversion"/>
  </si>
  <si>
    <t>Tang Wai Man</t>
    <phoneticPr fontId="7" type="noConversion"/>
  </si>
  <si>
    <t xml:space="preserve"> Executive Secretary</t>
    <phoneticPr fontId="7" type="noConversion"/>
  </si>
  <si>
    <r>
      <t xml:space="preserve">Period : From </t>
    </r>
    <r>
      <rPr>
        <u/>
        <sz val="10"/>
        <color indexed="8"/>
        <rFont val="Times New Roman"/>
        <family val="1"/>
      </rPr>
      <t xml:space="preserve">                    </t>
    </r>
    <r>
      <rPr>
        <u/>
        <sz val="12"/>
        <color indexed="8"/>
        <rFont val="Times New Roman"/>
        <family val="1"/>
      </rPr>
      <t xml:space="preserve">1 Jul 2015                </t>
    </r>
    <r>
      <rPr>
        <sz val="12"/>
        <color indexed="8"/>
        <rFont val="Times New Roman"/>
        <family val="1"/>
      </rPr>
      <t xml:space="preserve"> </t>
    </r>
    <r>
      <rPr>
        <sz val="10"/>
        <color indexed="8"/>
        <rFont val="Times New Roman"/>
        <family val="1"/>
      </rPr>
      <t>to</t>
    </r>
    <r>
      <rPr>
        <u/>
        <sz val="10"/>
        <color indexed="8"/>
        <rFont val="Times New Roman"/>
        <family val="1"/>
      </rPr>
      <t xml:space="preserve">                         </t>
    </r>
    <r>
      <rPr>
        <u/>
        <sz val="12"/>
        <color indexed="8"/>
        <rFont val="Times New Roman"/>
        <family val="1"/>
      </rPr>
      <t xml:space="preserve"> 30 Sep 2015             </t>
    </r>
    <phoneticPr fontId="7" type="noConversion"/>
  </si>
  <si>
    <r>
      <t>Name of Agency :</t>
    </r>
    <r>
      <rPr>
        <sz val="12"/>
        <color indexed="8"/>
        <rFont val="Times New Roman"/>
        <family val="1"/>
      </rPr>
      <t xml:space="preserve"> _</t>
    </r>
    <r>
      <rPr>
        <u/>
        <sz val="12"/>
        <color indexed="8"/>
        <rFont val="Times New Roman"/>
        <family val="1"/>
      </rPr>
      <t xml:space="preserve">_The Community Service Association_  </t>
    </r>
  </si>
  <si>
    <r>
      <t xml:space="preserve">Name of Team : </t>
    </r>
    <r>
      <rPr>
        <u/>
        <sz val="10"/>
        <color indexed="8"/>
        <rFont val="Times New Roman"/>
        <family val="1"/>
      </rPr>
      <t xml:space="preserve">          </t>
    </r>
    <r>
      <rPr>
        <u/>
        <sz val="12"/>
        <color indexed="8"/>
        <rFont val="Times New Roman"/>
        <family val="1"/>
      </rPr>
      <t xml:space="preserve">Children &amp; Youth Integrated Services________________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</si>
</sst>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0.0_ "/>
    <numFmt numFmtId="166" formatCode="#,##0_ "/>
  </numFmts>
  <fonts count="3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7"/>
      <name val="Times New Roman"/>
      <family val="1"/>
    </font>
    <font>
      <sz val="9"/>
      <name val="新細明體"/>
      <family val="1"/>
      <charset val="136"/>
    </font>
    <font>
      <sz val="8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10"/>
      <color indexed="10"/>
      <name val="Times New Roman"/>
      <family val="1"/>
    </font>
    <font>
      <sz val="10"/>
      <color indexed="12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Times New Roman"/>
      <family val="1"/>
    </font>
    <font>
      <u/>
      <sz val="10"/>
      <color indexed="8"/>
      <name val="Times New Roman"/>
      <family val="1"/>
    </font>
    <font>
      <u/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7"/>
      <color indexed="8"/>
      <name val="Times New Roman"/>
      <family val="1"/>
    </font>
    <font>
      <sz val="7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1"/>
      <color indexed="8"/>
      <name val="Times New Roman"/>
      <family val="1"/>
    </font>
    <font>
      <sz val="8"/>
      <color indexed="8"/>
      <name val="Times New Roman"/>
      <family val="1"/>
    </font>
    <font>
      <u/>
      <sz val="8"/>
      <color indexed="8"/>
      <name val="Times New Roman"/>
      <family val="1"/>
    </font>
    <font>
      <sz val="9"/>
      <color indexed="8"/>
      <name val="Times New Roman"/>
      <family val="1"/>
    </font>
    <font>
      <b/>
      <u/>
      <sz val="10"/>
      <color indexed="8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2"/>
      <color theme="10"/>
      <name val="新細明體"/>
      <family val="1"/>
      <charset val="136"/>
    </font>
    <font>
      <u/>
      <sz val="12"/>
      <color theme="1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</cellStyleXfs>
  <cellXfs count="261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0" fontId="5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3"/>
    </xf>
    <xf numFmtId="0" fontId="5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top" wrapText="1" inden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top" wrapText="1"/>
    </xf>
    <xf numFmtId="0" fontId="10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righ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 indent="1"/>
    </xf>
    <xf numFmtId="0" fontId="3" fillId="0" borderId="6" xfId="0" applyFont="1" applyBorder="1" applyAlignment="1">
      <alignment horizontal="left" vertical="top" wrapText="1" indent="1"/>
    </xf>
    <xf numFmtId="0" fontId="3" fillId="0" borderId="3" xfId="0" applyFont="1" applyBorder="1" applyAlignment="1">
      <alignment horizontal="left" vertical="top" wrapText="1" indent="1"/>
    </xf>
    <xf numFmtId="0" fontId="3" fillId="0" borderId="0" xfId="0" applyFont="1" applyBorder="1" applyAlignment="1">
      <alignment vertical="top" wrapText="1"/>
    </xf>
    <xf numFmtId="0" fontId="3" fillId="0" borderId="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Border="1">
      <alignment vertical="center"/>
    </xf>
    <xf numFmtId="0" fontId="4" fillId="0" borderId="0" xfId="0" applyFont="1" applyBorder="1" applyAlignment="1">
      <alignment horizontal="left" vertical="center"/>
    </xf>
    <xf numFmtId="0" fontId="9" fillId="0" borderId="8" xfId="0" applyFont="1" applyBorder="1" applyAlignment="1">
      <alignment vertical="top" wrapText="1"/>
    </xf>
    <xf numFmtId="0" fontId="9" fillId="0" borderId="9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10" fillId="0" borderId="0" xfId="0" applyFont="1">
      <alignment vertical="center"/>
    </xf>
    <xf numFmtId="0" fontId="9" fillId="0" borderId="11" xfId="0" applyFont="1" applyBorder="1" applyAlignment="1">
      <alignment vertical="top" wrapText="1"/>
    </xf>
    <xf numFmtId="0" fontId="2" fillId="0" borderId="9" xfId="0" applyFont="1" applyBorder="1">
      <alignment vertical="center"/>
    </xf>
    <xf numFmtId="0" fontId="10" fillId="0" borderId="0" xfId="0" applyFont="1" applyAlignment="1">
      <alignment vertical="center"/>
    </xf>
    <xf numFmtId="0" fontId="8" fillId="0" borderId="1" xfId="0" applyFont="1" applyBorder="1" applyAlignment="1">
      <alignment vertical="top" wrapText="1"/>
    </xf>
    <xf numFmtId="0" fontId="11" fillId="0" borderId="3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12" fillId="0" borderId="3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7" fillId="0" borderId="0" xfId="0" applyFo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horizontal="left" vertical="center" indent="1"/>
    </xf>
    <xf numFmtId="0" fontId="27" fillId="0" borderId="0" xfId="0" applyFont="1" applyAlignment="1">
      <alignment horizontal="left" vertical="center" indent="1"/>
    </xf>
    <xf numFmtId="0" fontId="28" fillId="0" borderId="0" xfId="0" applyFont="1">
      <alignment vertical="center"/>
    </xf>
    <xf numFmtId="0" fontId="28" fillId="0" borderId="0" xfId="0" applyFont="1" applyAlignment="1">
      <alignment horizontal="left" vertical="center" indent="8"/>
    </xf>
    <xf numFmtId="0" fontId="27" fillId="0" borderId="2" xfId="0" applyFont="1" applyBorder="1" applyAlignment="1">
      <alignment horizontal="right" vertical="top" wrapText="1"/>
    </xf>
    <xf numFmtId="0" fontId="27" fillId="0" borderId="3" xfId="0" applyFont="1" applyBorder="1" applyAlignment="1">
      <alignment vertical="top" wrapText="1"/>
    </xf>
    <xf numFmtId="0" fontId="27" fillId="0" borderId="1" xfId="0" applyFont="1" applyBorder="1" applyAlignment="1">
      <alignment horizontal="left" vertical="top" wrapText="1" indent="1"/>
    </xf>
    <xf numFmtId="0" fontId="27" fillId="0" borderId="1" xfId="0" applyFont="1" applyBorder="1" applyAlignment="1">
      <alignment horizontal="center" vertical="top" wrapText="1"/>
    </xf>
    <xf numFmtId="0" fontId="27" fillId="0" borderId="0" xfId="0" applyFont="1" applyBorder="1" applyAlignment="1">
      <alignment horizontal="center" vertical="top" wrapText="1"/>
    </xf>
    <xf numFmtId="0" fontId="29" fillId="0" borderId="0" xfId="0" applyFont="1" applyAlignment="1">
      <alignment horizontal="left" vertical="center"/>
    </xf>
    <xf numFmtId="0" fontId="30" fillId="0" borderId="0" xfId="0" applyFont="1">
      <alignment vertical="center"/>
    </xf>
    <xf numFmtId="0" fontId="30" fillId="0" borderId="0" xfId="0" applyFont="1" applyBorder="1">
      <alignment vertical="center"/>
    </xf>
    <xf numFmtId="0" fontId="20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21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21" fillId="0" borderId="0" xfId="0" applyFont="1" applyAlignment="1">
      <alignment horizontal="left" vertical="center" indent="3"/>
    </xf>
    <xf numFmtId="0" fontId="20" fillId="0" borderId="2" xfId="0" applyFont="1" applyBorder="1" applyAlignment="1">
      <alignment horizontal="right" vertical="top" wrapText="1"/>
    </xf>
    <xf numFmtId="0" fontId="20" fillId="0" borderId="2" xfId="0" applyFont="1" applyBorder="1" applyAlignment="1">
      <alignment horizontal="center" vertical="top" wrapText="1"/>
    </xf>
    <xf numFmtId="0" fontId="20" fillId="0" borderId="7" xfId="0" applyFont="1" applyBorder="1" applyAlignment="1">
      <alignment horizontal="center" vertical="top" wrapText="1"/>
    </xf>
    <xf numFmtId="0" fontId="20" fillId="0" borderId="3" xfId="0" applyFont="1" applyBorder="1" applyAlignment="1">
      <alignment vertical="top" wrapText="1"/>
    </xf>
    <xf numFmtId="0" fontId="20" fillId="0" borderId="3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left" vertical="top" wrapText="1" indent="1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vertical="top" wrapText="1"/>
    </xf>
    <xf numFmtId="0" fontId="20" fillId="0" borderId="6" xfId="0" applyFont="1" applyBorder="1" applyAlignment="1">
      <alignment vertical="top" wrapText="1"/>
    </xf>
    <xf numFmtId="0" fontId="20" fillId="0" borderId="3" xfId="0" applyFont="1" applyBorder="1" applyAlignment="1">
      <alignment horizontal="left" vertical="top" wrapText="1"/>
    </xf>
    <xf numFmtId="0" fontId="13" fillId="0" borderId="0" xfId="0" applyFont="1" applyBorder="1">
      <alignment vertical="center"/>
    </xf>
    <xf numFmtId="0" fontId="13" fillId="0" borderId="0" xfId="0" applyFont="1" applyAlignment="1">
      <alignment horizontal="left" vertical="center"/>
    </xf>
    <xf numFmtId="0" fontId="13" fillId="0" borderId="3" xfId="0" applyFont="1" applyBorder="1">
      <alignment vertical="center"/>
    </xf>
    <xf numFmtId="0" fontId="20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0" fillId="0" borderId="0" xfId="0" applyFont="1">
      <alignment vertical="center"/>
    </xf>
    <xf numFmtId="0" fontId="21" fillId="0" borderId="2" xfId="0" applyFont="1" applyBorder="1" applyAlignment="1">
      <alignment horizontal="right" vertical="top" wrapText="1"/>
    </xf>
    <xf numFmtId="0" fontId="13" fillId="0" borderId="10" xfId="0" applyFont="1" applyBorder="1" applyAlignment="1">
      <alignment horizontal="center" vertical="center"/>
    </xf>
    <xf numFmtId="0" fontId="21" fillId="0" borderId="0" xfId="0" applyFont="1">
      <alignment vertical="center"/>
    </xf>
    <xf numFmtId="0" fontId="21" fillId="0" borderId="0" xfId="0" applyFont="1" applyAlignment="1">
      <alignment horizontal="left" vertical="center" indent="2"/>
    </xf>
    <xf numFmtId="0" fontId="20" fillId="0" borderId="7" xfId="0" applyFont="1" applyBorder="1" applyAlignment="1">
      <alignment vertical="top" wrapText="1"/>
    </xf>
    <xf numFmtId="0" fontId="20" fillId="0" borderId="8" xfId="0" applyFont="1" applyBorder="1" applyAlignment="1">
      <alignment vertical="top" wrapText="1"/>
    </xf>
    <xf numFmtId="0" fontId="20" fillId="0" borderId="9" xfId="0" applyFont="1" applyBorder="1" applyAlignment="1">
      <alignment vertical="top" wrapText="1"/>
    </xf>
    <xf numFmtId="0" fontId="20" fillId="0" borderId="0" xfId="0" applyFont="1" applyBorder="1" applyAlignment="1">
      <alignment horizontal="right" vertical="top" wrapText="1"/>
    </xf>
    <xf numFmtId="0" fontId="20" fillId="0" borderId="4" xfId="0" applyFont="1" applyBorder="1" applyAlignment="1">
      <alignment vertical="top" wrapText="1"/>
    </xf>
    <xf numFmtId="0" fontId="20" fillId="0" borderId="5" xfId="0" applyFont="1" applyBorder="1" applyAlignment="1">
      <alignment horizontal="center" vertical="top" wrapText="1"/>
    </xf>
    <xf numFmtId="0" fontId="13" fillId="0" borderId="12" xfId="0" applyFont="1" applyBorder="1">
      <alignment vertical="center"/>
    </xf>
    <xf numFmtId="0" fontId="20" fillId="0" borderId="1" xfId="0" applyFont="1" applyBorder="1" applyAlignment="1">
      <alignment horizontal="center" vertical="top" wrapText="1"/>
    </xf>
    <xf numFmtId="0" fontId="20" fillId="0" borderId="0" xfId="0" applyFont="1" applyAlignment="1">
      <alignment vertical="center"/>
    </xf>
    <xf numFmtId="0" fontId="10" fillId="0" borderId="0" xfId="0" applyFont="1" applyProtection="1">
      <alignment vertical="center"/>
      <protection locked="0"/>
    </xf>
    <xf numFmtId="0" fontId="3" fillId="0" borderId="0" xfId="0" applyFont="1" applyAlignment="1">
      <alignment horizontal="center" vertical="top" wrapText="1"/>
    </xf>
    <xf numFmtId="0" fontId="3" fillId="0" borderId="0" xfId="0" applyFont="1" applyBorder="1" applyAlignment="1">
      <alignment vertical="center"/>
    </xf>
    <xf numFmtId="0" fontId="2" fillId="0" borderId="11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15" fontId="2" fillId="0" borderId="5" xfId="0" applyNumberFormat="1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top" wrapText="1"/>
    </xf>
    <xf numFmtId="0" fontId="14" fillId="0" borderId="2" xfId="0" applyFont="1" applyBorder="1" applyAlignment="1">
      <alignment vertical="top" wrapText="1"/>
    </xf>
    <xf numFmtId="0" fontId="12" fillId="0" borderId="3" xfId="0" applyFont="1" applyBorder="1" applyAlignment="1">
      <alignment horizontal="left" vertical="top" wrapText="1"/>
    </xf>
    <xf numFmtId="0" fontId="23" fillId="0" borderId="3" xfId="0" applyFont="1" applyBorder="1" applyAlignment="1">
      <alignment horizontal="left" vertical="top" wrapText="1"/>
    </xf>
    <xf numFmtId="0" fontId="20" fillId="0" borderId="6" xfId="0" applyFont="1" applyBorder="1" applyAlignment="1">
      <alignment horizontal="left" vertical="top" wrapText="1"/>
    </xf>
    <xf numFmtId="0" fontId="21" fillId="0" borderId="0" xfId="0" applyFont="1" applyAlignment="1">
      <alignment vertical="center"/>
    </xf>
    <xf numFmtId="0" fontId="20" fillId="0" borderId="1" xfId="0" applyFont="1" applyBorder="1" applyAlignment="1">
      <alignment horizontal="center" vertical="top" wrapText="1"/>
    </xf>
    <xf numFmtId="0" fontId="27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Border="1" applyAlignment="1">
      <alignment horizontal="center" vertical="top" wrapText="1"/>
    </xf>
    <xf numFmtId="0" fontId="31" fillId="0" borderId="0" xfId="0" applyFont="1" applyAlignment="1">
      <alignment horizontal="center" vertical="center"/>
    </xf>
    <xf numFmtId="0" fontId="27" fillId="0" borderId="1" xfId="0" applyFont="1" applyBorder="1" applyAlignment="1">
      <alignment horizontal="center" vertical="top" wrapText="1"/>
    </xf>
    <xf numFmtId="0" fontId="29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7" fillId="0" borderId="1" xfId="0" applyFont="1" applyBorder="1" applyAlignment="1">
      <alignment horizontal="left" vertical="top" wrapText="1" inden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6" fontId="3" fillId="0" borderId="2" xfId="1" applyNumberFormat="1" applyFont="1" applyBorder="1" applyAlignment="1">
      <alignment horizontal="center" vertical="center"/>
    </xf>
    <xf numFmtId="166" fontId="2" fillId="0" borderId="3" xfId="1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/>
    </xf>
    <xf numFmtId="166" fontId="2" fillId="2" borderId="3" xfId="1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66" fontId="3" fillId="2" borderId="3" xfId="1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6" fontId="2" fillId="0" borderId="3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top" wrapText="1"/>
    </xf>
    <xf numFmtId="0" fontId="20" fillId="0" borderId="0" xfId="0" applyFont="1" applyBorder="1" applyAlignment="1">
      <alignment horizontal="center" vertical="top" wrapText="1"/>
    </xf>
    <xf numFmtId="0" fontId="20" fillId="0" borderId="15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top" wrapText="1"/>
    </xf>
    <xf numFmtId="0" fontId="11" fillId="0" borderId="11" xfId="0" applyFont="1" applyBorder="1" applyAlignment="1">
      <alignment horizontal="center" vertical="top" wrapText="1"/>
    </xf>
    <xf numFmtId="0" fontId="11" fillId="0" borderId="9" xfId="0" applyFont="1" applyBorder="1" applyAlignment="1">
      <alignment horizontal="center" vertical="top" wrapText="1"/>
    </xf>
    <xf numFmtId="38" fontId="3" fillId="2" borderId="7" xfId="0" applyNumberFormat="1" applyFont="1" applyFill="1" applyBorder="1" applyAlignment="1">
      <alignment horizontal="center" vertical="center" wrapText="1"/>
    </xf>
    <xf numFmtId="38" fontId="3" fillId="2" borderId="13" xfId="0" applyNumberFormat="1" applyFont="1" applyFill="1" applyBorder="1" applyAlignment="1">
      <alignment horizontal="center" vertical="center" wrapText="1"/>
    </xf>
    <xf numFmtId="38" fontId="3" fillId="2" borderId="10" xfId="0" applyNumberFormat="1" applyFont="1" applyFill="1" applyBorder="1" applyAlignment="1">
      <alignment horizontal="center" vertical="center" wrapText="1"/>
    </xf>
    <xf numFmtId="38" fontId="3" fillId="2" borderId="14" xfId="0" applyNumberFormat="1" applyFont="1" applyFill="1" applyBorder="1" applyAlignment="1">
      <alignment horizontal="center" vertical="center" wrapText="1"/>
    </xf>
    <xf numFmtId="38" fontId="3" fillId="2" borderId="0" xfId="0" applyNumberFormat="1" applyFont="1" applyFill="1" applyBorder="1" applyAlignment="1">
      <alignment horizontal="center" vertical="center" wrapText="1"/>
    </xf>
    <xf numFmtId="38" fontId="3" fillId="2" borderId="15" xfId="0" applyNumberFormat="1" applyFont="1" applyFill="1" applyBorder="1" applyAlignment="1">
      <alignment horizontal="center" vertical="center" wrapText="1"/>
    </xf>
    <xf numFmtId="38" fontId="3" fillId="2" borderId="8" xfId="0" applyNumberFormat="1" applyFont="1" applyFill="1" applyBorder="1" applyAlignment="1">
      <alignment horizontal="center" vertical="center" wrapText="1"/>
    </xf>
    <xf numFmtId="38" fontId="3" fillId="2" borderId="11" xfId="0" applyNumberFormat="1" applyFont="1" applyFill="1" applyBorder="1" applyAlignment="1">
      <alignment horizontal="center" vertical="center" wrapText="1"/>
    </xf>
    <xf numFmtId="38" fontId="3" fillId="2" borderId="9" xfId="0" applyNumberFormat="1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165" fontId="20" fillId="0" borderId="2" xfId="0" applyNumberFormat="1" applyFont="1" applyBorder="1" applyAlignment="1">
      <alignment horizontal="center" vertical="center" wrapText="1"/>
    </xf>
    <xf numFmtId="165" fontId="20" fillId="0" borderId="6" xfId="0" applyNumberFormat="1" applyFont="1" applyBorder="1" applyAlignment="1">
      <alignment horizontal="center" vertical="center" wrapText="1"/>
    </xf>
    <xf numFmtId="165" fontId="20" fillId="0" borderId="3" xfId="0" applyNumberFormat="1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top" wrapText="1"/>
    </xf>
    <xf numFmtId="0" fontId="20" fillId="0" borderId="13" xfId="0" applyFont="1" applyBorder="1" applyAlignment="1">
      <alignment horizontal="center" vertical="top" wrapText="1"/>
    </xf>
    <xf numFmtId="0" fontId="20" fillId="0" borderId="10" xfId="0" applyFont="1" applyBorder="1" applyAlignment="1">
      <alignment horizontal="center" vertical="top" wrapText="1"/>
    </xf>
    <xf numFmtId="0" fontId="21" fillId="0" borderId="0" xfId="0" applyFont="1" applyAlignment="1">
      <alignment horizontal="left" vertical="center"/>
    </xf>
    <xf numFmtId="0" fontId="20" fillId="0" borderId="8" xfId="0" applyFont="1" applyBorder="1" applyAlignment="1">
      <alignment horizontal="center" vertical="top" wrapText="1"/>
    </xf>
    <xf numFmtId="0" fontId="20" fillId="0" borderId="9" xfId="0" applyFont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0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20" fillId="0" borderId="4" xfId="0" applyFont="1" applyBorder="1" applyAlignment="1">
      <alignment horizontal="center" vertical="top" wrapText="1"/>
    </xf>
    <xf numFmtId="0" fontId="20" fillId="0" borderId="12" xfId="0" applyFont="1" applyBorder="1" applyAlignment="1">
      <alignment horizontal="center" vertical="top" wrapText="1"/>
    </xf>
    <xf numFmtId="0" fontId="21" fillId="0" borderId="1" xfId="0" applyFont="1" applyBorder="1" applyAlignment="1">
      <alignment vertical="top" wrapText="1"/>
    </xf>
    <xf numFmtId="0" fontId="20" fillId="0" borderId="0" xfId="0" applyFont="1" applyAlignment="1">
      <alignment horizontal="left" vertical="center"/>
    </xf>
    <xf numFmtId="0" fontId="20" fillId="0" borderId="3" xfId="0" applyFont="1" applyBorder="1" applyAlignment="1">
      <alignment vertical="top" wrapText="1"/>
    </xf>
    <xf numFmtId="0" fontId="13" fillId="0" borderId="4" xfId="0" applyFont="1" applyBorder="1" applyAlignment="1">
      <alignment horizontal="center" vertical="top" wrapText="1"/>
    </xf>
    <xf numFmtId="0" fontId="13" fillId="0" borderId="12" xfId="0" applyFont="1" applyBorder="1" applyAlignment="1">
      <alignment horizontal="center" vertical="top" wrapText="1"/>
    </xf>
    <xf numFmtId="0" fontId="20" fillId="0" borderId="7" xfId="0" applyFont="1" applyBorder="1" applyAlignment="1">
      <alignment vertical="top" wrapText="1"/>
    </xf>
    <xf numFmtId="0" fontId="20" fillId="0" borderId="13" xfId="0" applyFont="1" applyBorder="1" applyAlignment="1">
      <alignment vertical="top" wrapText="1"/>
    </xf>
    <xf numFmtId="0" fontId="20" fillId="0" borderId="8" xfId="0" applyFont="1" applyBorder="1" applyAlignment="1">
      <alignment vertical="top" wrapText="1"/>
    </xf>
    <xf numFmtId="0" fontId="20" fillId="0" borderId="11" xfId="0" applyFont="1" applyBorder="1" applyAlignment="1">
      <alignment vertical="top" wrapText="1"/>
    </xf>
    <xf numFmtId="0" fontId="21" fillId="0" borderId="0" xfId="0" applyFont="1" applyAlignment="1">
      <alignment vertical="center"/>
    </xf>
    <xf numFmtId="0" fontId="20" fillId="0" borderId="7" xfId="0" applyFont="1" applyBorder="1" applyAlignment="1">
      <alignment horizontal="right" vertical="top" wrapText="1"/>
    </xf>
    <xf numFmtId="0" fontId="20" fillId="0" borderId="10" xfId="0" applyFont="1" applyBorder="1" applyAlignment="1">
      <alignment horizontal="right" vertical="top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left" vertical="top" wrapText="1"/>
    </xf>
    <xf numFmtId="0" fontId="20" fillId="0" borderId="9" xfId="0" applyFont="1" applyBorder="1" applyAlignment="1">
      <alignment horizontal="left" vertical="top" wrapText="1"/>
    </xf>
    <xf numFmtId="0" fontId="13" fillId="0" borderId="1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165" fontId="13" fillId="0" borderId="10" xfId="0" applyNumberFormat="1" applyFont="1" applyBorder="1" applyAlignment="1">
      <alignment horizontal="center" vertical="center"/>
    </xf>
    <xf numFmtId="165" fontId="13" fillId="0" borderId="15" xfId="0" applyNumberFormat="1" applyFont="1" applyBorder="1" applyAlignment="1">
      <alignment horizontal="center" vertical="center"/>
    </xf>
    <xf numFmtId="165" fontId="13" fillId="0" borderId="9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65" fontId="13" fillId="0" borderId="10" xfId="0" applyNumberFormat="1" applyFont="1" applyBorder="1" applyAlignment="1">
      <alignment horizontal="center" vertical="center" wrapText="1"/>
    </xf>
    <xf numFmtId="165" fontId="13" fillId="0" borderId="15" xfId="0" applyNumberFormat="1" applyFont="1" applyBorder="1" applyAlignment="1">
      <alignment horizontal="center" vertical="center" wrapText="1"/>
    </xf>
    <xf numFmtId="165" fontId="13" fillId="0" borderId="9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3" fontId="3" fillId="0" borderId="3" xfId="0" applyNumberFormat="1" applyFont="1" applyBorder="1" applyAlignment="1">
      <alignment horizontal="center" vertical="top" wrapText="1"/>
    </xf>
    <xf numFmtId="3" fontId="3" fillId="0" borderId="1" xfId="0" applyNumberFormat="1" applyFont="1" applyBorder="1" applyAlignment="1">
      <alignment horizontal="center" vertical="top" wrapText="1"/>
    </xf>
    <xf numFmtId="0" fontId="3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0" borderId="9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3" fontId="3" fillId="2" borderId="1" xfId="0" applyNumberFormat="1" applyFont="1" applyFill="1" applyBorder="1" applyAlignment="1">
      <alignment horizontal="center" vertical="top" wrapText="1"/>
    </xf>
    <xf numFmtId="3" fontId="3" fillId="2" borderId="2" xfId="0" applyNumberFormat="1" applyFont="1" applyFill="1" applyBorder="1" applyAlignment="1">
      <alignment horizontal="center" vertical="top" wrapText="1"/>
    </xf>
    <xf numFmtId="0" fontId="3" fillId="0" borderId="4" xfId="0" applyFont="1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11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 wrapText="1"/>
    </xf>
    <xf numFmtId="0" fontId="2" fillId="0" borderId="10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9" fillId="0" borderId="7" xfId="0" applyFont="1" applyBorder="1" applyAlignment="1">
      <alignment vertical="top" wrapText="1"/>
    </xf>
    <xf numFmtId="0" fontId="9" fillId="0" borderId="10" xfId="0" applyFont="1" applyBorder="1" applyAlignment="1">
      <alignment vertical="top" wrapText="1"/>
    </xf>
    <xf numFmtId="0" fontId="9" fillId="0" borderId="8" xfId="0" applyFont="1" applyBorder="1" applyAlignment="1">
      <alignment vertical="top" wrapText="1"/>
    </xf>
    <xf numFmtId="0" fontId="9" fillId="0" borderId="9" xfId="0" applyFont="1" applyBorder="1" applyAlignment="1">
      <alignment vertical="top" wrapText="1"/>
    </xf>
    <xf numFmtId="0" fontId="9" fillId="0" borderId="13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3" fillId="0" borderId="15" xfId="0" applyFont="1" applyBorder="1" applyAlignment="1">
      <alignment vertical="top" wrapText="1"/>
    </xf>
    <xf numFmtId="0" fontId="9" fillId="0" borderId="14" xfId="0" applyFont="1" applyBorder="1" applyAlignment="1">
      <alignment vertical="top" wrapText="1"/>
    </xf>
    <xf numFmtId="0" fontId="9" fillId="0" borderId="0" xfId="0" applyFont="1" applyBorder="1" applyAlignment="1">
      <alignment vertical="top" wrapText="1"/>
    </xf>
    <xf numFmtId="0" fontId="9" fillId="0" borderId="15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5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</cellXfs>
  <cellStyles count="6">
    <cellStyle name="Comma" xfId="1" builtinId="3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85725</xdr:rowOff>
    </xdr:from>
    <xdr:to>
      <xdr:col>0</xdr:col>
      <xdr:colOff>1285875</xdr:colOff>
      <xdr:row>2</xdr:row>
      <xdr:rowOff>171450</xdr:rowOff>
    </xdr:to>
    <xdr:sp macro="" textlink="">
      <xdr:nvSpPr>
        <xdr:cNvPr id="1026" name="Text Box 2"/>
        <xdr:cNvSpPr txBox="1">
          <a:spLocks noChangeArrowheads="1"/>
        </xdr:cNvSpPr>
      </xdr:nvSpPr>
      <xdr:spPr bwMode="auto">
        <a:xfrm>
          <a:off x="133350" y="85725"/>
          <a:ext cx="1152525" cy="581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ctr" rtl="0">
            <a:defRPr sz="1000"/>
          </a:pPr>
          <a:r>
            <a:rPr lang="en-US" altLang="zh-TW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SIS Form</a:t>
          </a: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1</xdr:col>
      <xdr:colOff>19050</xdr:colOff>
      <xdr:row>25</xdr:row>
      <xdr:rowOff>285750</xdr:rowOff>
    </xdr:to>
    <xdr:sp macro="" textlink="">
      <xdr:nvSpPr>
        <xdr:cNvPr id="17012" name="Line 1"/>
        <xdr:cNvSpPr>
          <a:spLocks noChangeShapeType="1"/>
        </xdr:cNvSpPr>
      </xdr:nvSpPr>
      <xdr:spPr bwMode="auto">
        <a:xfrm>
          <a:off x="0" y="5905500"/>
          <a:ext cx="2276475" cy="495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28575</xdr:rowOff>
    </xdr:from>
    <xdr:to>
      <xdr:col>1</xdr:col>
      <xdr:colOff>0</xdr:colOff>
      <xdr:row>5</xdr:row>
      <xdr:rowOff>200025</xdr:rowOff>
    </xdr:to>
    <xdr:sp macro="" textlink="">
      <xdr:nvSpPr>
        <xdr:cNvPr id="10175" name="Line 2"/>
        <xdr:cNvSpPr>
          <a:spLocks noChangeShapeType="1"/>
        </xdr:cNvSpPr>
      </xdr:nvSpPr>
      <xdr:spPr bwMode="auto">
        <a:xfrm>
          <a:off x="0" y="828675"/>
          <a:ext cx="3038475" cy="371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23</xdr:row>
      <xdr:rowOff>28575</xdr:rowOff>
    </xdr:from>
    <xdr:to>
      <xdr:col>1</xdr:col>
      <xdr:colOff>9525</xdr:colOff>
      <xdr:row>24</xdr:row>
      <xdr:rowOff>200025</xdr:rowOff>
    </xdr:to>
    <xdr:sp macro="" textlink="">
      <xdr:nvSpPr>
        <xdr:cNvPr id="10176" name="Line 1"/>
        <xdr:cNvSpPr>
          <a:spLocks noChangeShapeType="1"/>
        </xdr:cNvSpPr>
      </xdr:nvSpPr>
      <xdr:spPr bwMode="auto">
        <a:xfrm>
          <a:off x="0" y="4629150"/>
          <a:ext cx="3048000" cy="371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4</xdr:row>
      <xdr:rowOff>28575</xdr:rowOff>
    </xdr:from>
    <xdr:to>
      <xdr:col>1</xdr:col>
      <xdr:colOff>9525</xdr:colOff>
      <xdr:row>5</xdr:row>
      <xdr:rowOff>200025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0" y="4629150"/>
          <a:ext cx="3048000" cy="371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23</xdr:row>
      <xdr:rowOff>28575</xdr:rowOff>
    </xdr:from>
    <xdr:to>
      <xdr:col>1</xdr:col>
      <xdr:colOff>9525</xdr:colOff>
      <xdr:row>24</xdr:row>
      <xdr:rowOff>200025</xdr:rowOff>
    </xdr:to>
    <xdr:sp macro="" textlink="">
      <xdr:nvSpPr>
        <xdr:cNvPr id="5" name="Line 1"/>
        <xdr:cNvSpPr>
          <a:spLocks noChangeShapeType="1"/>
        </xdr:cNvSpPr>
      </xdr:nvSpPr>
      <xdr:spPr bwMode="auto">
        <a:xfrm>
          <a:off x="0" y="4629150"/>
          <a:ext cx="3048000" cy="371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23</xdr:row>
      <xdr:rowOff>28575</xdr:rowOff>
    </xdr:from>
    <xdr:to>
      <xdr:col>1</xdr:col>
      <xdr:colOff>9525</xdr:colOff>
      <xdr:row>24</xdr:row>
      <xdr:rowOff>200025</xdr:rowOff>
    </xdr:to>
    <xdr:sp macro="" textlink="">
      <xdr:nvSpPr>
        <xdr:cNvPr id="6" name="Line 1"/>
        <xdr:cNvSpPr>
          <a:spLocks noChangeShapeType="1"/>
        </xdr:cNvSpPr>
      </xdr:nvSpPr>
      <xdr:spPr bwMode="auto">
        <a:xfrm>
          <a:off x="0" y="790575"/>
          <a:ext cx="3044825" cy="349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38100</xdr:rowOff>
    </xdr:from>
    <xdr:to>
      <xdr:col>1</xdr:col>
      <xdr:colOff>0</xdr:colOff>
      <xdr:row>4</xdr:row>
      <xdr:rowOff>180975</xdr:rowOff>
    </xdr:to>
    <xdr:sp macro="" textlink="">
      <xdr:nvSpPr>
        <xdr:cNvPr id="12191" name="Line 2"/>
        <xdr:cNvSpPr>
          <a:spLocks noChangeShapeType="1"/>
        </xdr:cNvSpPr>
      </xdr:nvSpPr>
      <xdr:spPr bwMode="auto">
        <a:xfrm>
          <a:off x="0" y="638175"/>
          <a:ext cx="2686050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76200</xdr:colOff>
      <xdr:row>6</xdr:row>
      <xdr:rowOff>0</xdr:rowOff>
    </xdr:from>
    <xdr:to>
      <xdr:col>2</xdr:col>
      <xdr:colOff>304800</xdr:colOff>
      <xdr:row>6</xdr:row>
      <xdr:rowOff>0</xdr:rowOff>
    </xdr:to>
    <xdr:sp macro="" textlink="">
      <xdr:nvSpPr>
        <xdr:cNvPr id="12192" name="Line 1"/>
        <xdr:cNvSpPr>
          <a:spLocks noChangeShapeType="1"/>
        </xdr:cNvSpPr>
      </xdr:nvSpPr>
      <xdr:spPr bwMode="auto">
        <a:xfrm>
          <a:off x="3609975" y="1323975"/>
          <a:ext cx="228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209550</xdr:rowOff>
    </xdr:from>
    <xdr:to>
      <xdr:col>1</xdr:col>
      <xdr:colOff>0</xdr:colOff>
      <xdr:row>3</xdr:row>
      <xdr:rowOff>190500</xdr:rowOff>
    </xdr:to>
    <xdr:sp macro="" textlink="">
      <xdr:nvSpPr>
        <xdr:cNvPr id="13211" name="Line 1"/>
        <xdr:cNvSpPr>
          <a:spLocks noChangeShapeType="1"/>
        </xdr:cNvSpPr>
      </xdr:nvSpPr>
      <xdr:spPr bwMode="auto">
        <a:xfrm>
          <a:off x="0" y="400050"/>
          <a:ext cx="2924175" cy="390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28</xdr:row>
      <xdr:rowOff>0</xdr:rowOff>
    </xdr:from>
    <xdr:to>
      <xdr:col>1</xdr:col>
      <xdr:colOff>1076325</xdr:colOff>
      <xdr:row>29</xdr:row>
      <xdr:rowOff>200025</xdr:rowOff>
    </xdr:to>
    <xdr:sp macro="" textlink="">
      <xdr:nvSpPr>
        <xdr:cNvPr id="13212" name="Line 2"/>
        <xdr:cNvSpPr>
          <a:spLocks noChangeShapeType="1"/>
        </xdr:cNvSpPr>
      </xdr:nvSpPr>
      <xdr:spPr bwMode="auto">
        <a:xfrm>
          <a:off x="28575" y="5410200"/>
          <a:ext cx="362902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13</xdr:row>
      <xdr:rowOff>9525</xdr:rowOff>
    </xdr:from>
    <xdr:to>
      <xdr:col>5</xdr:col>
      <xdr:colOff>1000125</xdr:colOff>
      <xdr:row>16</xdr:row>
      <xdr:rowOff>161925</xdr:rowOff>
    </xdr:to>
    <xdr:sp macro="" textlink="">
      <xdr:nvSpPr>
        <xdr:cNvPr id="15245" name="Line 1"/>
        <xdr:cNvSpPr>
          <a:spLocks noChangeShapeType="1"/>
        </xdr:cNvSpPr>
      </xdr:nvSpPr>
      <xdr:spPr bwMode="auto">
        <a:xfrm>
          <a:off x="3981450" y="2743200"/>
          <a:ext cx="1885950" cy="7524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0</xdr:colOff>
      <xdr:row>10</xdr:row>
      <xdr:rowOff>47625</xdr:rowOff>
    </xdr:from>
    <xdr:to>
      <xdr:col>2</xdr:col>
      <xdr:colOff>0</xdr:colOff>
      <xdr:row>12</xdr:row>
      <xdr:rowOff>28575</xdr:rowOff>
    </xdr:to>
    <xdr:sp macro="" textlink="">
      <xdr:nvSpPr>
        <xdr:cNvPr id="15246" name="Line 2"/>
        <xdr:cNvSpPr>
          <a:spLocks noChangeShapeType="1"/>
        </xdr:cNvSpPr>
      </xdr:nvSpPr>
      <xdr:spPr bwMode="auto">
        <a:xfrm flipH="1" flipV="1">
          <a:off x="0" y="2181225"/>
          <a:ext cx="1981200" cy="3810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tabSelected="1" topLeftCell="A8" workbookViewId="0">
      <selection activeCell="M15" sqref="M15"/>
    </sheetView>
  </sheetViews>
  <sheetFormatPr baseColWidth="10" defaultColWidth="8.83203125" defaultRowHeight="16.5" customHeight="1" x14ac:dyDescent="0"/>
  <cols>
    <col min="1" max="1" width="29.6640625" style="53" customWidth="1"/>
    <col min="2" max="2" width="4.83203125" style="53" customWidth="1"/>
    <col min="3" max="16" width="4.6640625" style="53" customWidth="1"/>
    <col min="17" max="17" width="0.1640625" style="53" hidden="1" customWidth="1"/>
    <col min="18" max="16384" width="8.83203125" style="53"/>
  </cols>
  <sheetData>
    <row r="1" spans="1:17" ht="20" customHeight="1">
      <c r="A1" s="109" t="s">
        <v>111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</row>
    <row r="2" spans="1:17" ht="2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</row>
    <row r="3" spans="1:17" ht="20" customHeight="1">
      <c r="A3" s="109" t="s">
        <v>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</row>
    <row r="4" spans="1:17" ht="20" customHeight="1">
      <c r="A4" s="109" t="s">
        <v>112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7" ht="20" customHeight="1">
      <c r="A5" s="111" t="s">
        <v>113</v>
      </c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</row>
    <row r="6" spans="1:17" ht="20" customHeight="1">
      <c r="A6" s="111" t="s">
        <v>114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</row>
    <row r="7" spans="1:17" ht="20" customHeight="1">
      <c r="A7" s="111" t="s">
        <v>115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</row>
    <row r="8" spans="1:17" ht="20" customHeight="1">
      <c r="A8" s="111" t="s">
        <v>116</v>
      </c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</row>
    <row r="9" spans="1:17" ht="20" customHeight="1">
      <c r="A9" s="111" t="s">
        <v>76</v>
      </c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</row>
    <row r="10" spans="1:17" ht="20" customHeight="1">
      <c r="A10" s="111" t="s">
        <v>77</v>
      </c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</row>
    <row r="11" spans="1:17" ht="20" customHeight="1">
      <c r="A11" s="41"/>
    </row>
    <row r="12" spans="1:17" ht="20" customHeight="1">
      <c r="A12" s="42" t="s">
        <v>226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</row>
    <row r="13" spans="1:17" ht="20" customHeight="1">
      <c r="A13" s="42" t="s">
        <v>225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</row>
    <row r="14" spans="1:17" ht="20" customHeight="1">
      <c r="A14" s="42" t="s">
        <v>119</v>
      </c>
      <c r="B14" s="42"/>
      <c r="C14" s="42"/>
      <c r="D14" s="42"/>
      <c r="E14" s="42"/>
      <c r="F14" s="42"/>
      <c r="I14" s="42"/>
      <c r="J14" s="42"/>
      <c r="K14" s="42"/>
      <c r="L14" s="42"/>
      <c r="M14" s="42"/>
      <c r="N14" s="42"/>
      <c r="O14" s="42"/>
      <c r="P14" s="42"/>
      <c r="Q14" s="42"/>
    </row>
    <row r="15" spans="1:17" ht="20" customHeight="1">
      <c r="A15" s="42" t="s">
        <v>219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</row>
    <row r="16" spans="1:17" ht="20" customHeight="1">
      <c r="A16" s="42"/>
      <c r="B16" s="42"/>
      <c r="C16" s="42"/>
      <c r="D16" s="42"/>
      <c r="E16" s="42"/>
      <c r="F16" s="42"/>
      <c r="G16" s="42"/>
      <c r="H16" s="42"/>
      <c r="I16" s="42"/>
      <c r="J16" s="42" t="s">
        <v>110</v>
      </c>
      <c r="K16" s="42"/>
      <c r="L16" s="42"/>
      <c r="M16" s="42"/>
      <c r="N16" s="42"/>
      <c r="O16" s="42"/>
      <c r="P16" s="42"/>
      <c r="Q16" s="42"/>
    </row>
    <row r="17" spans="1:17" ht="20" customHeight="1">
      <c r="A17" s="42" t="s">
        <v>224</v>
      </c>
      <c r="B17" s="42"/>
      <c r="C17" s="42"/>
      <c r="E17" s="42"/>
      <c r="F17" s="42"/>
      <c r="G17" s="42"/>
      <c r="H17" s="42"/>
      <c r="I17" s="42"/>
      <c r="J17" s="42" t="s">
        <v>110</v>
      </c>
      <c r="K17" s="42"/>
      <c r="L17" s="42"/>
      <c r="M17" s="42"/>
      <c r="N17" s="42"/>
      <c r="O17" s="42"/>
      <c r="P17" s="42"/>
      <c r="Q17" s="42"/>
    </row>
    <row r="18" spans="1:17" ht="20" customHeight="1">
      <c r="A18" s="43" t="s">
        <v>117</v>
      </c>
    </row>
    <row r="19" spans="1:17" ht="20" customHeight="1">
      <c r="A19" s="44" t="s">
        <v>2</v>
      </c>
    </row>
    <row r="20" spans="1:17" ht="20" customHeight="1">
      <c r="A20" s="45" t="s">
        <v>3</v>
      </c>
    </row>
    <row r="21" spans="1:17" ht="20" customHeight="1">
      <c r="A21" s="46" t="s">
        <v>4</v>
      </c>
    </row>
    <row r="22" spans="1:17" ht="16.5" customHeight="1">
      <c r="A22" s="41"/>
    </row>
    <row r="23" spans="1:17" ht="20" customHeight="1">
      <c r="A23" s="110"/>
      <c r="B23" s="112" t="s">
        <v>5</v>
      </c>
      <c r="C23" s="112"/>
      <c r="D23" s="112"/>
      <c r="E23" s="112" t="s">
        <v>7</v>
      </c>
      <c r="F23" s="112"/>
      <c r="G23" s="112"/>
      <c r="H23" s="112"/>
      <c r="I23" s="112"/>
      <c r="J23" s="112"/>
      <c r="K23" s="112" t="s">
        <v>8</v>
      </c>
      <c r="L23" s="112"/>
      <c r="M23" s="112"/>
      <c r="N23" s="112" t="s">
        <v>9</v>
      </c>
      <c r="O23" s="112"/>
      <c r="P23" s="112"/>
    </row>
    <row r="24" spans="1:17" ht="20" customHeight="1">
      <c r="A24" s="110"/>
      <c r="B24" s="112" t="s">
        <v>6</v>
      </c>
      <c r="C24" s="112"/>
      <c r="D24" s="112"/>
      <c r="E24" s="112" t="s">
        <v>11</v>
      </c>
      <c r="F24" s="112"/>
      <c r="G24" s="112"/>
      <c r="H24" s="112" t="s">
        <v>12</v>
      </c>
      <c r="I24" s="112"/>
      <c r="J24" s="112"/>
      <c r="K24" s="112"/>
      <c r="L24" s="112"/>
      <c r="M24" s="112"/>
      <c r="N24" s="112" t="s">
        <v>10</v>
      </c>
      <c r="O24" s="112"/>
      <c r="P24" s="112"/>
    </row>
    <row r="25" spans="1:17" ht="20" customHeight="1">
      <c r="A25" s="47" t="s">
        <v>118</v>
      </c>
      <c r="B25" s="112"/>
      <c r="C25" s="112"/>
      <c r="D25" s="112"/>
      <c r="E25" s="112">
        <f>B25</f>
        <v>0</v>
      </c>
      <c r="F25" s="112">
        <f>C25</f>
        <v>0</v>
      </c>
      <c r="G25" s="112">
        <f>D25</f>
        <v>0</v>
      </c>
      <c r="H25" s="112">
        <f>B25</f>
        <v>0</v>
      </c>
      <c r="I25" s="112">
        <f>C25</f>
        <v>0</v>
      </c>
      <c r="J25" s="112">
        <f>D25</f>
        <v>0</v>
      </c>
      <c r="K25" s="112">
        <f>B25</f>
        <v>0</v>
      </c>
      <c r="L25" s="112">
        <f>C25</f>
        <v>0</v>
      </c>
      <c r="M25" s="112">
        <f>D25</f>
        <v>0</v>
      </c>
      <c r="N25" s="112">
        <f>B25</f>
        <v>0</v>
      </c>
      <c r="O25" s="112">
        <f>C25</f>
        <v>0</v>
      </c>
      <c r="P25" s="112">
        <f>D25</f>
        <v>0</v>
      </c>
    </row>
    <row r="26" spans="1:17" ht="20" customHeight="1">
      <c r="A26" s="48" t="s">
        <v>13</v>
      </c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</row>
    <row r="27" spans="1:17" ht="20" customHeight="1">
      <c r="A27" s="116" t="s">
        <v>120</v>
      </c>
      <c r="B27" s="115"/>
      <c r="C27" s="115">
        <f>B31</f>
        <v>0</v>
      </c>
      <c r="D27" s="115">
        <f>C31</f>
        <v>0</v>
      </c>
      <c r="E27" s="115"/>
      <c r="F27" s="115">
        <f>E31</f>
        <v>0</v>
      </c>
      <c r="G27" s="115">
        <f>F31</f>
        <v>0</v>
      </c>
      <c r="H27" s="115"/>
      <c r="I27" s="115">
        <f>H31</f>
        <v>0</v>
      </c>
      <c r="J27" s="115">
        <f>I31</f>
        <v>0</v>
      </c>
      <c r="K27" s="115"/>
      <c r="L27" s="115">
        <f>K31</f>
        <v>0</v>
      </c>
      <c r="M27" s="115">
        <f>L31</f>
        <v>0</v>
      </c>
      <c r="N27" s="115">
        <f>B27+E27+H27+K27</f>
        <v>0</v>
      </c>
      <c r="O27" s="112">
        <f>C27+F27+I27+L27</f>
        <v>0</v>
      </c>
      <c r="P27" s="112">
        <f>D27+G27+J27+M27</f>
        <v>0</v>
      </c>
    </row>
    <row r="28" spans="1:17" ht="20" customHeight="1">
      <c r="A28" s="116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2"/>
      <c r="P28" s="112"/>
    </row>
    <row r="29" spans="1:17" ht="20" customHeight="1">
      <c r="A29" s="116" t="s">
        <v>126</v>
      </c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5">
        <f>B29+E29+H29+K29</f>
        <v>0</v>
      </c>
      <c r="O29" s="112">
        <f>C29+F29+I29+L29</f>
        <v>0</v>
      </c>
      <c r="P29" s="112">
        <f>D29+G29+J29+M29</f>
        <v>0</v>
      </c>
    </row>
    <row r="30" spans="1:17" ht="20" customHeight="1">
      <c r="A30" s="116"/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5"/>
      <c r="O30" s="112"/>
      <c r="P30" s="112"/>
    </row>
    <row r="31" spans="1:17" s="54" customFormat="1" ht="54" customHeight="1">
      <c r="A31" s="49" t="s">
        <v>121</v>
      </c>
      <c r="B31" s="107">
        <f t="shared" ref="B31:M31" si="0">B27+B29</f>
        <v>0</v>
      </c>
      <c r="C31" s="107">
        <f t="shared" si="0"/>
        <v>0</v>
      </c>
      <c r="D31" s="107">
        <f t="shared" si="0"/>
        <v>0</v>
      </c>
      <c r="E31" s="107">
        <f t="shared" si="0"/>
        <v>0</v>
      </c>
      <c r="F31" s="107">
        <f t="shared" si="0"/>
        <v>0</v>
      </c>
      <c r="G31" s="107">
        <f t="shared" si="0"/>
        <v>0</v>
      </c>
      <c r="H31" s="107">
        <f t="shared" si="0"/>
        <v>0</v>
      </c>
      <c r="I31" s="107">
        <f t="shared" si="0"/>
        <v>0</v>
      </c>
      <c r="J31" s="107">
        <f t="shared" si="0"/>
        <v>0</v>
      </c>
      <c r="K31" s="107">
        <f t="shared" si="0"/>
        <v>0</v>
      </c>
      <c r="L31" s="107">
        <f t="shared" si="0"/>
        <v>0</v>
      </c>
      <c r="M31" s="107">
        <f t="shared" si="0"/>
        <v>0</v>
      </c>
      <c r="N31" s="107">
        <f>B31+E31+H31+K31</f>
        <v>0</v>
      </c>
      <c r="O31" s="105">
        <f>C31+F31+I31+L31</f>
        <v>0</v>
      </c>
      <c r="P31" s="105">
        <f>D31+G31+J31+M31</f>
        <v>0</v>
      </c>
      <c r="Q31" s="50">
        <f t="shared" ref="Q31" si="1">Q27+Q29</f>
        <v>0</v>
      </c>
    </row>
    <row r="32" spans="1:17" ht="16.5" customHeight="1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</row>
    <row r="33" spans="1:17" ht="16.5" customHeight="1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</row>
    <row r="34" spans="1:17" ht="20" customHeight="1">
      <c r="A34" s="52" t="s">
        <v>122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</row>
    <row r="35" spans="1:17" ht="20" customHeight="1">
      <c r="A35" s="113" t="s">
        <v>123</v>
      </c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52"/>
    </row>
    <row r="36" spans="1:17" ht="20" customHeight="1">
      <c r="A36" s="113" t="s">
        <v>124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</row>
    <row r="37" spans="1:17" ht="16.5" customHeight="1">
      <c r="A37" s="113" t="s">
        <v>125</v>
      </c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</row>
  </sheetData>
  <mergeCells count="69">
    <mergeCell ref="A35:P35"/>
    <mergeCell ref="M27:M28"/>
    <mergeCell ref="N27:N28"/>
    <mergeCell ref="O27:O28"/>
    <mergeCell ref="P27:P28"/>
    <mergeCell ref="L27:L28"/>
    <mergeCell ref="A29:A30"/>
    <mergeCell ref="A27:A28"/>
    <mergeCell ref="B27:B28"/>
    <mergeCell ref="H27:H28"/>
    <mergeCell ref="C27:C28"/>
    <mergeCell ref="D27:D28"/>
    <mergeCell ref="E27:E28"/>
    <mergeCell ref="F27:F28"/>
    <mergeCell ref="G27:G28"/>
    <mergeCell ref="J27:J28"/>
    <mergeCell ref="K29:K30"/>
    <mergeCell ref="E24:G24"/>
    <mergeCell ref="H24:J24"/>
    <mergeCell ref="K27:K28"/>
    <mergeCell ref="I27:I28"/>
    <mergeCell ref="K23:M24"/>
    <mergeCell ref="F25:F26"/>
    <mergeCell ref="G25:G26"/>
    <mergeCell ref="H25:H26"/>
    <mergeCell ref="I25:I26"/>
    <mergeCell ref="J25:J26"/>
    <mergeCell ref="K25:K26"/>
    <mergeCell ref="A37:Q37"/>
    <mergeCell ref="I29:I30"/>
    <mergeCell ref="N29:N30"/>
    <mergeCell ref="O29:O30"/>
    <mergeCell ref="P29:P30"/>
    <mergeCell ref="B29:B30"/>
    <mergeCell ref="A36:Q36"/>
    <mergeCell ref="M29:M30"/>
    <mergeCell ref="E29:E30"/>
    <mergeCell ref="J29:J30"/>
    <mergeCell ref="L29:L30"/>
    <mergeCell ref="H29:H30"/>
    <mergeCell ref="C29:C30"/>
    <mergeCell ref="D29:D30"/>
    <mergeCell ref="F29:F30"/>
    <mergeCell ref="G29:G30"/>
    <mergeCell ref="B25:B26"/>
    <mergeCell ref="A5:Q5"/>
    <mergeCell ref="A8:Q8"/>
    <mergeCell ref="O25:O26"/>
    <mergeCell ref="P25:P26"/>
    <mergeCell ref="E25:E26"/>
    <mergeCell ref="A6:Q6"/>
    <mergeCell ref="A10:Q10"/>
    <mergeCell ref="C25:C26"/>
    <mergeCell ref="D25:D26"/>
    <mergeCell ref="L25:L26"/>
    <mergeCell ref="M25:M26"/>
    <mergeCell ref="N25:N26"/>
    <mergeCell ref="E23:J23"/>
    <mergeCell ref="N24:P24"/>
    <mergeCell ref="A1:Q1"/>
    <mergeCell ref="A2:Q2"/>
    <mergeCell ref="A3:Q3"/>
    <mergeCell ref="A4:Q4"/>
    <mergeCell ref="A23:A24"/>
    <mergeCell ref="A7:Q7"/>
    <mergeCell ref="N23:P23"/>
    <mergeCell ref="B23:D23"/>
    <mergeCell ref="B24:D24"/>
    <mergeCell ref="A9:Q9"/>
  </mergeCells>
  <phoneticPr fontId="7" type="noConversion"/>
  <printOptions horizontalCentered="1"/>
  <pageMargins left="0.26" right="0.28999999999999998" top="0.82677165354330717" bottom="0.82677165354330717" header="0.39370078740157483" footer="0.62992125984251968"/>
  <pageSetup paperSize="9" scale="94" orientation="portrait"/>
  <headerFooter alignWithMargins="0"/>
  <colBreaks count="1" manualBreakCount="1">
    <brk id="17" max="1048575" man="1"/>
  </colBreaks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>
      <selection activeCell="D26" sqref="D26:D27"/>
    </sheetView>
  </sheetViews>
  <sheetFormatPr baseColWidth="10" defaultColWidth="8.83203125" defaultRowHeight="15" x14ac:dyDescent="0"/>
  <cols>
    <col min="1" max="1" width="39.83203125" style="2" customWidth="1"/>
    <col min="2" max="4" width="9.5" style="2" customWidth="1"/>
    <col min="5" max="5" width="3.6640625" style="2" customWidth="1"/>
    <col min="6" max="6" width="10.83203125" style="2" customWidth="1"/>
    <col min="7" max="7" width="12.83203125" style="2" customWidth="1"/>
    <col min="8" max="16384" width="8.83203125" style="2"/>
  </cols>
  <sheetData>
    <row r="1" spans="1:10">
      <c r="A1" s="119" t="s">
        <v>14</v>
      </c>
      <c r="B1" s="119"/>
      <c r="C1" s="119"/>
      <c r="D1" s="119"/>
      <c r="E1" s="119"/>
      <c r="F1" s="119"/>
      <c r="G1" s="119"/>
      <c r="H1" s="119"/>
      <c r="I1" s="119"/>
      <c r="J1" s="119"/>
    </row>
    <row r="2" spans="1:10">
      <c r="A2" s="119" t="s">
        <v>127</v>
      </c>
      <c r="B2" s="119"/>
      <c r="C2" s="119"/>
      <c r="D2" s="119"/>
      <c r="E2" s="119"/>
      <c r="F2" s="119"/>
      <c r="G2" s="119"/>
      <c r="H2" s="119"/>
      <c r="I2" s="119"/>
      <c r="J2" s="119"/>
    </row>
    <row r="3" spans="1:10">
      <c r="A3" s="1"/>
    </row>
    <row r="4" spans="1:10">
      <c r="A4" s="21"/>
      <c r="B4" s="129" t="s">
        <v>128</v>
      </c>
      <c r="C4" s="130"/>
      <c r="D4" s="130"/>
      <c r="E4" s="130"/>
      <c r="F4" s="131"/>
    </row>
    <row r="5" spans="1:10">
      <c r="A5" s="16" t="s">
        <v>15</v>
      </c>
      <c r="B5" s="15" t="s">
        <v>89</v>
      </c>
      <c r="C5" s="15" t="s">
        <v>85</v>
      </c>
      <c r="D5" s="15" t="s">
        <v>84</v>
      </c>
      <c r="E5" s="123" t="s">
        <v>17</v>
      </c>
      <c r="F5" s="132"/>
    </row>
    <row r="6" spans="1:10">
      <c r="A6" s="6" t="s">
        <v>16</v>
      </c>
      <c r="B6" s="37">
        <f>'P1'!B25</f>
        <v>0</v>
      </c>
      <c r="C6" s="37">
        <f>'P1'!C25</f>
        <v>0</v>
      </c>
      <c r="D6" s="37">
        <f>'P1'!D25</f>
        <v>0</v>
      </c>
      <c r="E6" s="124"/>
      <c r="F6" s="133"/>
    </row>
    <row r="7" spans="1:10">
      <c r="A7" s="18" t="s">
        <v>18</v>
      </c>
      <c r="B7" s="138"/>
      <c r="C7" s="138"/>
      <c r="D7" s="138"/>
      <c r="E7" s="127" t="s">
        <v>20</v>
      </c>
      <c r="F7" s="132">
        <f>B7+C7+D7</f>
        <v>0</v>
      </c>
    </row>
    <row r="8" spans="1:10">
      <c r="A8" s="20" t="s">
        <v>19</v>
      </c>
      <c r="B8" s="139"/>
      <c r="C8" s="139"/>
      <c r="D8" s="139"/>
      <c r="E8" s="128"/>
      <c r="F8" s="133"/>
    </row>
    <row r="9" spans="1:10">
      <c r="A9" s="18" t="s">
        <v>21</v>
      </c>
      <c r="B9" s="140"/>
      <c r="C9" s="135"/>
      <c r="D9" s="135"/>
      <c r="E9" s="127" t="s">
        <v>23</v>
      </c>
      <c r="F9" s="132">
        <f>B9+C9+D9</f>
        <v>0</v>
      </c>
    </row>
    <row r="10" spans="1:10">
      <c r="A10" s="20" t="s">
        <v>22</v>
      </c>
      <c r="B10" s="140"/>
      <c r="C10" s="136"/>
      <c r="D10" s="136"/>
      <c r="E10" s="128"/>
      <c r="F10" s="133"/>
    </row>
    <row r="11" spans="1:10">
      <c r="A11" s="18" t="s">
        <v>24</v>
      </c>
      <c r="B11" s="138"/>
      <c r="C11" s="138"/>
      <c r="D11" s="138"/>
      <c r="E11" s="127" t="s">
        <v>26</v>
      </c>
      <c r="F11" s="132">
        <f>B11+C11+D11</f>
        <v>0</v>
      </c>
    </row>
    <row r="12" spans="1:10">
      <c r="A12" s="20" t="s">
        <v>25</v>
      </c>
      <c r="B12" s="139"/>
      <c r="C12" s="139"/>
      <c r="D12" s="139"/>
      <c r="E12" s="128"/>
      <c r="F12" s="133"/>
    </row>
    <row r="13" spans="1:10">
      <c r="A13" s="18" t="s">
        <v>27</v>
      </c>
      <c r="B13" s="138"/>
      <c r="C13" s="138"/>
      <c r="D13" s="138"/>
      <c r="E13" s="127" t="s">
        <v>29</v>
      </c>
      <c r="F13" s="132">
        <f>B13+C13+D13</f>
        <v>0</v>
      </c>
    </row>
    <row r="14" spans="1:10">
      <c r="A14" s="20" t="s">
        <v>28</v>
      </c>
      <c r="B14" s="139"/>
      <c r="C14" s="139"/>
      <c r="D14" s="139"/>
      <c r="E14" s="128"/>
      <c r="F14" s="133"/>
    </row>
    <row r="15" spans="1:10">
      <c r="A15" s="18" t="s">
        <v>30</v>
      </c>
      <c r="B15" s="138"/>
      <c r="C15" s="138"/>
      <c r="D15" s="138"/>
      <c r="E15" s="127" t="s">
        <v>32</v>
      </c>
      <c r="F15" s="132">
        <f>B15+C15+D15</f>
        <v>0</v>
      </c>
    </row>
    <row r="16" spans="1:10">
      <c r="A16" s="20" t="s">
        <v>31</v>
      </c>
      <c r="B16" s="139"/>
      <c r="C16" s="139"/>
      <c r="D16" s="139"/>
      <c r="E16" s="128"/>
      <c r="F16" s="133"/>
    </row>
    <row r="17" spans="1:10">
      <c r="A17" s="18" t="s">
        <v>33</v>
      </c>
      <c r="B17" s="135">
        <f>B7+B9+B11+B13+B15</f>
        <v>0</v>
      </c>
      <c r="C17" s="135">
        <f>C7+C9+C11+C13+C15</f>
        <v>0</v>
      </c>
      <c r="D17" s="135">
        <f>D7+D9+D11+D13+D15</f>
        <v>0</v>
      </c>
      <c r="E17" s="127" t="s">
        <v>35</v>
      </c>
      <c r="F17" s="121">
        <f>SUM(F7:F16)</f>
        <v>0</v>
      </c>
    </row>
    <row r="18" spans="1:10">
      <c r="A18" s="20" t="s">
        <v>34</v>
      </c>
      <c r="B18" s="136"/>
      <c r="C18" s="136"/>
      <c r="D18" s="136"/>
      <c r="E18" s="128"/>
      <c r="F18" s="137"/>
    </row>
    <row r="19" spans="1:10">
      <c r="A19" s="8"/>
    </row>
    <row r="20" spans="1:10">
      <c r="A20" s="119" t="s">
        <v>36</v>
      </c>
      <c r="B20" s="119"/>
      <c r="C20" s="119"/>
      <c r="D20" s="119"/>
      <c r="E20" s="119"/>
      <c r="F20" s="119"/>
      <c r="G20" s="119"/>
      <c r="H20" s="119"/>
      <c r="I20" s="119"/>
      <c r="J20" s="119"/>
    </row>
    <row r="21" spans="1:10">
      <c r="A21" s="119" t="s">
        <v>129</v>
      </c>
      <c r="B21" s="119"/>
      <c r="C21" s="119"/>
      <c r="D21" s="119"/>
      <c r="E21" s="119"/>
      <c r="F21" s="119"/>
      <c r="G21" s="119"/>
      <c r="H21" s="119"/>
      <c r="I21" s="119"/>
      <c r="J21" s="119"/>
    </row>
    <row r="22" spans="1:10">
      <c r="A22" s="8"/>
    </row>
    <row r="23" spans="1:10" s="25" customFormat="1">
      <c r="A23" s="21"/>
      <c r="B23" s="129" t="s">
        <v>37</v>
      </c>
      <c r="C23" s="130"/>
      <c r="D23" s="130"/>
      <c r="E23" s="130"/>
      <c r="F23" s="131"/>
    </row>
    <row r="24" spans="1:10" s="25" customFormat="1">
      <c r="A24" s="16" t="s">
        <v>15</v>
      </c>
      <c r="B24" s="106" t="s">
        <v>89</v>
      </c>
      <c r="C24" s="106" t="s">
        <v>85</v>
      </c>
      <c r="D24" s="106" t="s">
        <v>84</v>
      </c>
      <c r="E24" s="123" t="s">
        <v>17</v>
      </c>
      <c r="F24" s="132"/>
    </row>
    <row r="25" spans="1:10" s="25" customFormat="1">
      <c r="A25" s="6" t="s">
        <v>16</v>
      </c>
      <c r="B25" s="37">
        <f>'P1'!B25</f>
        <v>0</v>
      </c>
      <c r="C25" s="37">
        <f>'P1'!C25</f>
        <v>0</v>
      </c>
      <c r="D25" s="37">
        <f>'P1'!D25</f>
        <v>0</v>
      </c>
      <c r="E25" s="124"/>
      <c r="F25" s="133"/>
    </row>
    <row r="26" spans="1:10" s="25" customFormat="1">
      <c r="A26" s="17" t="s">
        <v>91</v>
      </c>
      <c r="B26" s="125"/>
      <c r="C26" s="125"/>
      <c r="D26" s="125"/>
      <c r="E26" s="127" t="s">
        <v>38</v>
      </c>
      <c r="F26" s="121">
        <f>B26+C26+D26</f>
        <v>0</v>
      </c>
    </row>
    <row r="27" spans="1:10" s="25" customFormat="1" ht="15.75" customHeight="1">
      <c r="A27" s="20" t="s">
        <v>19</v>
      </c>
      <c r="B27" s="134"/>
      <c r="C27" s="126"/>
      <c r="D27" s="126"/>
      <c r="E27" s="128"/>
      <c r="F27" s="122"/>
    </row>
    <row r="28" spans="1:10" s="25" customFormat="1">
      <c r="A28" s="17" t="s">
        <v>92</v>
      </c>
      <c r="B28" s="121"/>
      <c r="C28" s="121"/>
      <c r="D28" s="121"/>
      <c r="E28" s="127" t="s">
        <v>39</v>
      </c>
      <c r="F28" s="121">
        <f>B28+C28+D28</f>
        <v>0</v>
      </c>
    </row>
    <row r="29" spans="1:10" s="25" customFormat="1" ht="15.75" customHeight="1">
      <c r="A29" s="19" t="s">
        <v>22</v>
      </c>
      <c r="B29" s="122"/>
      <c r="C29" s="122"/>
      <c r="D29" s="122"/>
      <c r="E29" s="128"/>
      <c r="F29" s="122"/>
    </row>
    <row r="30" spans="1:10" s="25" customFormat="1">
      <c r="A30" s="18" t="s">
        <v>90</v>
      </c>
      <c r="B30" s="125"/>
      <c r="C30" s="125"/>
      <c r="D30" s="125"/>
      <c r="E30" s="123" t="s">
        <v>93</v>
      </c>
      <c r="F30" s="121">
        <f>B30+C30+D30</f>
        <v>0</v>
      </c>
    </row>
    <row r="31" spans="1:10" s="25" customFormat="1" ht="15.75" customHeight="1">
      <c r="A31" s="19" t="s">
        <v>94</v>
      </c>
      <c r="B31" s="126"/>
      <c r="C31" s="126"/>
      <c r="D31" s="126"/>
      <c r="E31" s="124"/>
      <c r="F31" s="122"/>
    </row>
    <row r="32" spans="1:10" s="25" customFormat="1">
      <c r="A32" s="18" t="s">
        <v>27</v>
      </c>
      <c r="B32" s="125"/>
      <c r="C32" s="125"/>
      <c r="D32" s="125"/>
      <c r="E32" s="123" t="s">
        <v>40</v>
      </c>
      <c r="F32" s="121">
        <f>B32+C32+D32</f>
        <v>0</v>
      </c>
    </row>
    <row r="33" spans="1:8" s="25" customFormat="1" ht="15.75" customHeight="1">
      <c r="A33" s="22" t="s">
        <v>95</v>
      </c>
      <c r="B33" s="126"/>
      <c r="C33" s="126"/>
      <c r="D33" s="126"/>
      <c r="E33" s="124"/>
      <c r="F33" s="122"/>
    </row>
    <row r="34" spans="1:8" s="25" customFormat="1">
      <c r="A34" s="17" t="s">
        <v>96</v>
      </c>
      <c r="B34" s="125"/>
      <c r="C34" s="125"/>
      <c r="D34" s="125"/>
      <c r="E34" s="123" t="s">
        <v>41</v>
      </c>
      <c r="F34" s="121">
        <f>B34+C34+D34</f>
        <v>0</v>
      </c>
    </row>
    <row r="35" spans="1:8" s="25" customFormat="1" ht="15.75" customHeight="1">
      <c r="A35" s="19" t="s">
        <v>130</v>
      </c>
      <c r="B35" s="126"/>
      <c r="C35" s="126"/>
      <c r="D35" s="126"/>
      <c r="E35" s="124"/>
      <c r="F35" s="122"/>
    </row>
    <row r="36" spans="1:8" s="25" customFormat="1">
      <c r="A36" s="18" t="s">
        <v>33</v>
      </c>
      <c r="B36" s="121">
        <f>SUM(B26:B35)</f>
        <v>0</v>
      </c>
      <c r="C36" s="121">
        <f>SUM(C26:C35)</f>
        <v>0</v>
      </c>
      <c r="D36" s="121">
        <f>SUM(D26:D35)</f>
        <v>0</v>
      </c>
      <c r="E36" s="123" t="s">
        <v>42</v>
      </c>
      <c r="F36" s="121">
        <f>SUM(F26:F35)</f>
        <v>0</v>
      </c>
    </row>
    <row r="37" spans="1:8" s="25" customFormat="1" ht="15.75" customHeight="1">
      <c r="A37" s="20" t="s">
        <v>131</v>
      </c>
      <c r="B37" s="122"/>
      <c r="C37" s="122"/>
      <c r="D37" s="122"/>
      <c r="E37" s="124"/>
      <c r="F37" s="122"/>
    </row>
    <row r="38" spans="1:8">
      <c r="A38" s="10"/>
      <c r="B38" s="11"/>
      <c r="C38" s="11"/>
      <c r="D38" s="11" t="s">
        <v>132</v>
      </c>
      <c r="E38" s="11"/>
      <c r="F38" s="12"/>
      <c r="G38" s="25"/>
    </row>
    <row r="39" spans="1:8">
      <c r="A39" s="119" t="s">
        <v>43</v>
      </c>
      <c r="B39" s="119"/>
      <c r="C39" s="119"/>
      <c r="D39" s="119"/>
      <c r="E39" s="119"/>
      <c r="F39" s="119"/>
      <c r="G39" s="25"/>
    </row>
    <row r="40" spans="1:8">
      <c r="A40" s="7"/>
      <c r="G40" s="25"/>
    </row>
    <row r="41" spans="1:8">
      <c r="A41" s="120" t="s">
        <v>133</v>
      </c>
      <c r="B41" s="120"/>
      <c r="C41" s="120"/>
      <c r="D41" s="120"/>
      <c r="E41" s="4"/>
      <c r="F41" s="3"/>
    </row>
    <row r="42" spans="1:8">
      <c r="A42" s="3"/>
      <c r="B42" s="3"/>
      <c r="C42" s="3"/>
      <c r="D42" s="3"/>
      <c r="E42" s="3"/>
      <c r="F42" s="3"/>
      <c r="G42" s="3"/>
    </row>
    <row r="43" spans="1:8">
      <c r="A43" s="117" t="s">
        <v>134</v>
      </c>
      <c r="B43" s="117"/>
      <c r="C43" s="117"/>
      <c r="D43" s="117"/>
      <c r="E43" s="117"/>
      <c r="F43" s="117"/>
      <c r="G43" s="117"/>
      <c r="H43" s="117"/>
    </row>
    <row r="44" spans="1:8">
      <c r="A44" s="56" t="s">
        <v>135</v>
      </c>
      <c r="B44" s="56"/>
      <c r="C44" s="56"/>
      <c r="D44" s="56"/>
      <c r="E44" s="56"/>
      <c r="F44" s="56"/>
      <c r="G44" s="56"/>
      <c r="H44" s="56"/>
    </row>
    <row r="45" spans="1:8">
      <c r="A45" s="117" t="s">
        <v>136</v>
      </c>
      <c r="B45" s="117"/>
      <c r="C45" s="117"/>
      <c r="D45" s="117"/>
      <c r="E45" s="117"/>
      <c r="F45" s="117"/>
      <c r="G45" s="117"/>
      <c r="H45" s="57"/>
    </row>
    <row r="46" spans="1:8">
      <c r="A46" s="117" t="s">
        <v>137</v>
      </c>
      <c r="B46" s="117"/>
      <c r="C46" s="117"/>
      <c r="D46" s="117"/>
      <c r="E46" s="117"/>
      <c r="F46" s="117"/>
      <c r="G46" s="117"/>
      <c r="H46" s="117"/>
    </row>
    <row r="48" spans="1:8">
      <c r="A48" s="117" t="s">
        <v>138</v>
      </c>
      <c r="B48" s="117"/>
      <c r="C48" s="117"/>
      <c r="D48" s="117"/>
      <c r="E48" s="117"/>
      <c r="F48" s="117"/>
      <c r="G48" s="117"/>
      <c r="H48" s="117"/>
    </row>
    <row r="49" spans="1:8">
      <c r="A49" s="118" t="s">
        <v>139</v>
      </c>
      <c r="B49" s="118"/>
      <c r="C49" s="118"/>
      <c r="D49" s="118"/>
      <c r="E49" s="118"/>
      <c r="F49" s="118"/>
      <c r="G49" s="118"/>
      <c r="H49" s="118"/>
    </row>
  </sheetData>
  <mergeCells count="75">
    <mergeCell ref="A1:J1"/>
    <mergeCell ref="A2:J2"/>
    <mergeCell ref="B4:F4"/>
    <mergeCell ref="E5:F6"/>
    <mergeCell ref="B7:B8"/>
    <mergeCell ref="C7:C8"/>
    <mergeCell ref="D7:D8"/>
    <mergeCell ref="E7:E8"/>
    <mergeCell ref="F7:F8"/>
    <mergeCell ref="B9:B10"/>
    <mergeCell ref="C9:C10"/>
    <mergeCell ref="D9:D10"/>
    <mergeCell ref="E9:E10"/>
    <mergeCell ref="F9:F10"/>
    <mergeCell ref="B11:B12"/>
    <mergeCell ref="C11:C12"/>
    <mergeCell ref="D11:D12"/>
    <mergeCell ref="E11:E12"/>
    <mergeCell ref="F11:F12"/>
    <mergeCell ref="B13:B14"/>
    <mergeCell ref="C13:C14"/>
    <mergeCell ref="D13:D14"/>
    <mergeCell ref="E13:E14"/>
    <mergeCell ref="F13:F14"/>
    <mergeCell ref="B15:B16"/>
    <mergeCell ref="C15:C16"/>
    <mergeCell ref="D15:D16"/>
    <mergeCell ref="E15:E16"/>
    <mergeCell ref="F15:F16"/>
    <mergeCell ref="B17:B18"/>
    <mergeCell ref="C17:C18"/>
    <mergeCell ref="D17:D18"/>
    <mergeCell ref="E17:E18"/>
    <mergeCell ref="F17:F18"/>
    <mergeCell ref="A20:J20"/>
    <mergeCell ref="A21:J21"/>
    <mergeCell ref="B23:F23"/>
    <mergeCell ref="E24:F25"/>
    <mergeCell ref="B26:B27"/>
    <mergeCell ref="C26:C27"/>
    <mergeCell ref="D26:D27"/>
    <mergeCell ref="E26:E27"/>
    <mergeCell ref="F26:F27"/>
    <mergeCell ref="B28:B29"/>
    <mergeCell ref="C28:C29"/>
    <mergeCell ref="D28:D29"/>
    <mergeCell ref="E28:E29"/>
    <mergeCell ref="F28:F29"/>
    <mergeCell ref="B30:B31"/>
    <mergeCell ref="C30:C31"/>
    <mergeCell ref="D30:D31"/>
    <mergeCell ref="E30:E31"/>
    <mergeCell ref="F30:F31"/>
    <mergeCell ref="B32:B33"/>
    <mergeCell ref="C32:C33"/>
    <mergeCell ref="D32:D33"/>
    <mergeCell ref="E32:E33"/>
    <mergeCell ref="F32:F33"/>
    <mergeCell ref="B34:B35"/>
    <mergeCell ref="C34:C35"/>
    <mergeCell ref="D34:D35"/>
    <mergeCell ref="E34:E35"/>
    <mergeCell ref="F34:F35"/>
    <mergeCell ref="B36:B37"/>
    <mergeCell ref="C36:C37"/>
    <mergeCell ref="D36:D37"/>
    <mergeCell ref="E36:E37"/>
    <mergeCell ref="F36:F37"/>
    <mergeCell ref="A48:H48"/>
    <mergeCell ref="A49:H49"/>
    <mergeCell ref="A39:F39"/>
    <mergeCell ref="A41:D41"/>
    <mergeCell ref="A43:H43"/>
    <mergeCell ref="A45:G45"/>
    <mergeCell ref="A46:H46"/>
  </mergeCells>
  <phoneticPr fontId="7" type="noConversion"/>
  <pageMargins left="0.7" right="0.7" top="0.75" bottom="0.75" header="0.3" footer="0.3"/>
  <pageSetup paperSize="9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selection activeCell="B20" sqref="B20:F22"/>
    </sheetView>
  </sheetViews>
  <sheetFormatPr baseColWidth="10" defaultColWidth="8.83203125" defaultRowHeight="15" x14ac:dyDescent="0"/>
  <cols>
    <col min="1" max="1" width="35.1640625" style="59" customWidth="1"/>
    <col min="2" max="2" width="11.1640625" style="59" customWidth="1"/>
    <col min="3" max="3" width="11.1640625" style="59" bestFit="1" customWidth="1"/>
    <col min="4" max="4" width="11.1640625" style="59" customWidth="1"/>
    <col min="5" max="5" width="3.6640625" style="59" bestFit="1" customWidth="1"/>
    <col min="6" max="6" width="12.6640625" style="59" customWidth="1"/>
    <col min="7" max="7" width="11.5" style="59" customWidth="1"/>
    <col min="8" max="16384" width="8.83203125" style="59"/>
  </cols>
  <sheetData>
    <row r="1" spans="1:10">
      <c r="A1" s="165" t="s">
        <v>140</v>
      </c>
      <c r="B1" s="165"/>
      <c r="C1" s="165"/>
      <c r="D1" s="165"/>
      <c r="E1" s="165"/>
      <c r="F1" s="165"/>
      <c r="G1" s="58"/>
      <c r="H1" s="58"/>
      <c r="I1" s="58"/>
      <c r="J1" s="58"/>
    </row>
    <row r="2" spans="1:10">
      <c r="A2" s="165" t="s">
        <v>141</v>
      </c>
      <c r="B2" s="165"/>
      <c r="C2" s="165"/>
      <c r="D2" s="165"/>
      <c r="E2" s="165"/>
      <c r="F2" s="165"/>
      <c r="G2" s="58"/>
      <c r="H2" s="58"/>
      <c r="I2" s="58"/>
      <c r="J2" s="58"/>
    </row>
    <row r="3" spans="1:10">
      <c r="A3" s="60"/>
    </row>
    <row r="4" spans="1:10">
      <c r="A4" s="61" t="s">
        <v>44</v>
      </c>
      <c r="B4" s="62" t="s">
        <v>142</v>
      </c>
      <c r="C4" s="62" t="s">
        <v>143</v>
      </c>
      <c r="D4" s="63" t="s">
        <v>144</v>
      </c>
      <c r="E4" s="162" t="s">
        <v>17</v>
      </c>
      <c r="F4" s="164"/>
    </row>
    <row r="5" spans="1:10">
      <c r="A5" s="64" t="s">
        <v>45</v>
      </c>
      <c r="B5" s="65"/>
      <c r="C5" s="65"/>
      <c r="D5" s="65"/>
      <c r="E5" s="166"/>
      <c r="F5" s="167"/>
    </row>
    <row r="6" spans="1:10" ht="24">
      <c r="A6" s="66" t="s">
        <v>46</v>
      </c>
      <c r="B6" s="108"/>
      <c r="C6" s="108"/>
      <c r="D6" s="67"/>
      <c r="E6" s="55" t="s">
        <v>47</v>
      </c>
      <c r="F6" s="68">
        <f>SUM(B6:D6)</f>
        <v>0</v>
      </c>
    </row>
    <row r="7" spans="1:10" ht="24">
      <c r="A7" s="69" t="s">
        <v>145</v>
      </c>
      <c r="B7" s="138"/>
      <c r="C7" s="138"/>
      <c r="D7" s="156"/>
      <c r="E7" s="156" t="s">
        <v>39</v>
      </c>
      <c r="F7" s="169">
        <f>SUM(B7:D9)</f>
        <v>0</v>
      </c>
    </row>
    <row r="8" spans="1:10">
      <c r="A8" s="70" t="s">
        <v>146</v>
      </c>
      <c r="B8" s="168"/>
      <c r="C8" s="168"/>
      <c r="D8" s="157"/>
      <c r="E8" s="157"/>
      <c r="F8" s="169"/>
    </row>
    <row r="9" spans="1:10">
      <c r="A9" s="64" t="s">
        <v>147</v>
      </c>
      <c r="B9" s="139"/>
      <c r="C9" s="139"/>
      <c r="D9" s="158"/>
      <c r="E9" s="158"/>
      <c r="F9" s="169"/>
    </row>
    <row r="10" spans="1:10">
      <c r="A10" s="69" t="s">
        <v>148</v>
      </c>
      <c r="B10" s="156"/>
      <c r="C10" s="156"/>
      <c r="D10" s="156"/>
      <c r="E10" s="156" t="s">
        <v>26</v>
      </c>
      <c r="F10" s="159" t="e">
        <f>F7*100/F6</f>
        <v>#DIV/0!</v>
      </c>
    </row>
    <row r="11" spans="1:10">
      <c r="A11" s="70" t="s">
        <v>149</v>
      </c>
      <c r="B11" s="157"/>
      <c r="C11" s="157"/>
      <c r="D11" s="157"/>
      <c r="E11" s="157"/>
      <c r="F11" s="160"/>
    </row>
    <row r="12" spans="1:10">
      <c r="A12" s="71" t="s">
        <v>150</v>
      </c>
      <c r="B12" s="158"/>
      <c r="C12" s="158"/>
      <c r="D12" s="158"/>
      <c r="E12" s="158"/>
      <c r="F12" s="161"/>
    </row>
    <row r="13" spans="1:10">
      <c r="A13" s="72"/>
    </row>
    <row r="14" spans="1:10">
      <c r="A14" s="58" t="s">
        <v>151</v>
      </c>
      <c r="B14" s="73"/>
      <c r="C14" s="73"/>
      <c r="D14" s="73"/>
      <c r="E14" s="73"/>
      <c r="F14" s="73"/>
      <c r="G14" s="73"/>
    </row>
    <row r="15" spans="1:10">
      <c r="A15" s="58" t="s">
        <v>152</v>
      </c>
      <c r="B15" s="73"/>
      <c r="C15" s="73"/>
      <c r="D15" s="73"/>
      <c r="E15" s="73"/>
      <c r="F15" s="73"/>
      <c r="G15" s="73"/>
    </row>
    <row r="16" spans="1:10">
      <c r="A16" s="58"/>
      <c r="B16" s="73"/>
      <c r="C16" s="73"/>
      <c r="D16" s="73"/>
      <c r="E16" s="73"/>
      <c r="F16" s="73"/>
      <c r="G16" s="73"/>
    </row>
    <row r="17" spans="1:6">
      <c r="A17" s="69" t="s">
        <v>48</v>
      </c>
      <c r="B17" s="162" t="s">
        <v>49</v>
      </c>
      <c r="C17" s="163"/>
      <c r="D17" s="163"/>
      <c r="E17" s="163"/>
      <c r="F17" s="164"/>
    </row>
    <row r="18" spans="1:6">
      <c r="A18" s="70"/>
      <c r="B18" s="141"/>
      <c r="C18" s="142"/>
      <c r="D18" s="142"/>
      <c r="E18" s="142"/>
      <c r="F18" s="143"/>
    </row>
    <row r="19" spans="1:6">
      <c r="A19" s="64"/>
      <c r="B19" s="144" t="str">
        <f>'P1'!B25&amp;"-"&amp;'P1'!D25</f>
        <v>-</v>
      </c>
      <c r="C19" s="145"/>
      <c r="D19" s="145"/>
      <c r="E19" s="145"/>
      <c r="F19" s="146"/>
    </row>
    <row r="20" spans="1:6" ht="24">
      <c r="A20" s="69" t="s">
        <v>153</v>
      </c>
      <c r="B20" s="147"/>
      <c r="C20" s="148"/>
      <c r="D20" s="148"/>
      <c r="E20" s="148"/>
      <c r="F20" s="149"/>
    </row>
    <row r="21" spans="1:6">
      <c r="A21" s="70" t="s">
        <v>97</v>
      </c>
      <c r="B21" s="150"/>
      <c r="C21" s="151"/>
      <c r="D21" s="151"/>
      <c r="E21" s="151"/>
      <c r="F21" s="152"/>
    </row>
    <row r="22" spans="1:6">
      <c r="A22" s="74"/>
      <c r="B22" s="153"/>
      <c r="C22" s="154"/>
      <c r="D22" s="154"/>
      <c r="E22" s="154"/>
      <c r="F22" s="155"/>
    </row>
    <row r="24" spans="1:6">
      <c r="A24" s="75" t="s">
        <v>154</v>
      </c>
      <c r="B24" s="73"/>
      <c r="C24" s="73"/>
      <c r="D24" s="73"/>
      <c r="E24" s="73"/>
      <c r="F24" s="73"/>
    </row>
    <row r="25" spans="1:6">
      <c r="A25" s="75" t="s">
        <v>155</v>
      </c>
      <c r="B25" s="73"/>
      <c r="C25" s="73"/>
      <c r="D25" s="73"/>
      <c r="E25" s="73"/>
      <c r="F25" s="73"/>
    </row>
    <row r="26" spans="1:6">
      <c r="A26" s="75" t="s">
        <v>156</v>
      </c>
      <c r="B26" s="73"/>
      <c r="C26" s="73"/>
      <c r="D26" s="73"/>
      <c r="E26" s="73"/>
      <c r="F26" s="73"/>
    </row>
    <row r="27" spans="1:6">
      <c r="A27" s="75" t="s">
        <v>157</v>
      </c>
      <c r="B27" s="76"/>
      <c r="C27" s="76"/>
      <c r="D27" s="76"/>
      <c r="E27" s="76"/>
      <c r="F27" s="76"/>
    </row>
    <row r="28" spans="1:6">
      <c r="A28" s="75" t="s">
        <v>158</v>
      </c>
      <c r="B28" s="76"/>
      <c r="C28" s="76"/>
      <c r="D28" s="76"/>
      <c r="E28" s="76"/>
      <c r="F28" s="76"/>
    </row>
    <row r="29" spans="1:6">
      <c r="A29" s="77"/>
    </row>
    <row r="30" spans="1:6">
      <c r="A30" s="75" t="s">
        <v>159</v>
      </c>
      <c r="B30" s="73"/>
      <c r="C30" s="73"/>
      <c r="D30" s="73"/>
      <c r="E30" s="73"/>
      <c r="F30" s="73"/>
    </row>
    <row r="31" spans="1:6">
      <c r="A31" s="75" t="s">
        <v>160</v>
      </c>
      <c r="B31" s="76"/>
      <c r="C31" s="76"/>
      <c r="D31" s="76"/>
      <c r="E31" s="76"/>
      <c r="F31" s="76"/>
    </row>
    <row r="32" spans="1:6">
      <c r="A32" s="75" t="s">
        <v>161</v>
      </c>
      <c r="B32" s="76"/>
      <c r="C32" s="76"/>
      <c r="D32" s="76"/>
      <c r="E32" s="76"/>
      <c r="F32" s="76"/>
    </row>
    <row r="33" spans="1:6">
      <c r="A33" s="77"/>
    </row>
    <row r="34" spans="1:6">
      <c r="A34" s="75" t="s">
        <v>162</v>
      </c>
      <c r="B34" s="73"/>
      <c r="C34" s="73"/>
      <c r="D34" s="73"/>
      <c r="E34" s="73"/>
      <c r="F34" s="73"/>
    </row>
    <row r="35" spans="1:6">
      <c r="A35" s="77"/>
    </row>
    <row r="36" spans="1:6">
      <c r="A36" s="75" t="s">
        <v>163</v>
      </c>
      <c r="B36" s="73"/>
      <c r="C36" s="73"/>
      <c r="D36" s="73"/>
      <c r="E36" s="73"/>
      <c r="F36" s="73"/>
    </row>
    <row r="37" spans="1:6">
      <c r="A37" s="75" t="s">
        <v>164</v>
      </c>
      <c r="B37" s="73"/>
      <c r="C37" s="73"/>
      <c r="D37" s="73"/>
      <c r="E37" s="73"/>
      <c r="F37" s="73"/>
    </row>
    <row r="38" spans="1:6">
      <c r="A38" s="75" t="s">
        <v>165</v>
      </c>
      <c r="B38" s="76"/>
      <c r="C38" s="76"/>
      <c r="D38" s="76"/>
      <c r="E38" s="76"/>
      <c r="F38" s="76"/>
    </row>
    <row r="39" spans="1:6">
      <c r="A39" s="75" t="s">
        <v>166</v>
      </c>
      <c r="B39" s="76"/>
      <c r="C39" s="76"/>
      <c r="D39" s="76"/>
      <c r="E39" s="76"/>
      <c r="F39" s="76"/>
    </row>
    <row r="40" spans="1:6">
      <c r="A40" s="75" t="s">
        <v>167</v>
      </c>
      <c r="B40" s="76"/>
      <c r="C40" s="76"/>
      <c r="D40" s="76"/>
      <c r="E40" s="76"/>
      <c r="F40" s="76"/>
    </row>
    <row r="41" spans="1:6">
      <c r="A41" s="75" t="s">
        <v>168</v>
      </c>
      <c r="B41" s="76"/>
      <c r="C41" s="76"/>
      <c r="D41" s="76"/>
      <c r="E41" s="76"/>
      <c r="F41" s="76"/>
    </row>
    <row r="42" spans="1:6">
      <c r="A42" s="75" t="s">
        <v>169</v>
      </c>
      <c r="B42" s="73"/>
      <c r="C42" s="73"/>
      <c r="D42" s="73"/>
      <c r="E42" s="73"/>
      <c r="F42" s="73"/>
    </row>
  </sheetData>
  <mergeCells count="17">
    <mergeCell ref="A1:F1"/>
    <mergeCell ref="A2:F2"/>
    <mergeCell ref="E4:F5"/>
    <mergeCell ref="B7:B9"/>
    <mergeCell ref="C7:C9"/>
    <mergeCell ref="D7:D9"/>
    <mergeCell ref="E7:E9"/>
    <mergeCell ref="F7:F9"/>
    <mergeCell ref="B18:F18"/>
    <mergeCell ref="B19:F19"/>
    <mergeCell ref="B20:F22"/>
    <mergeCell ref="B10:B12"/>
    <mergeCell ref="C10:C12"/>
    <mergeCell ref="D10:D12"/>
    <mergeCell ref="E10:E12"/>
    <mergeCell ref="F10:F12"/>
    <mergeCell ref="B17:F17"/>
  </mergeCells>
  <phoneticPr fontId="7" type="noConversion"/>
  <pageMargins left="0.7" right="0.7" top="0.75" bottom="0.75" header="0.3" footer="0.3"/>
  <pageSetup paperSize="9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opLeftCell="A12" workbookViewId="0">
      <selection activeCell="E29" sqref="E29:F30"/>
    </sheetView>
  </sheetViews>
  <sheetFormatPr baseColWidth="10" defaultColWidth="8.83203125" defaultRowHeight="15" x14ac:dyDescent="0"/>
  <cols>
    <col min="1" max="1" width="38.33203125" style="59" customWidth="1"/>
    <col min="2" max="2" width="9.6640625" style="59" customWidth="1"/>
    <col min="3" max="3" width="11.1640625" style="59" customWidth="1"/>
    <col min="4" max="4" width="10.5" style="59" customWidth="1"/>
    <col min="5" max="5" width="6" style="59" customWidth="1"/>
    <col min="6" max="6" width="6.1640625" style="59" customWidth="1"/>
    <col min="7" max="7" width="0.1640625" style="59" customWidth="1"/>
    <col min="8" max="10" width="9" style="59" hidden="1" customWidth="1"/>
    <col min="11" max="16384" width="8.83203125" style="59"/>
  </cols>
  <sheetData>
    <row r="1" spans="1:10">
      <c r="A1" s="165" t="s">
        <v>170</v>
      </c>
      <c r="B1" s="165"/>
      <c r="C1" s="165"/>
      <c r="D1" s="165"/>
      <c r="E1" s="165"/>
      <c r="F1" s="165"/>
      <c r="G1" s="165"/>
      <c r="H1" s="165"/>
      <c r="I1" s="165"/>
      <c r="J1" s="165"/>
    </row>
    <row r="3" spans="1:10">
      <c r="A3" s="78" t="s">
        <v>15</v>
      </c>
      <c r="B3" s="62" t="s">
        <v>86</v>
      </c>
      <c r="C3" s="62" t="s">
        <v>85</v>
      </c>
      <c r="D3" s="62" t="s">
        <v>84</v>
      </c>
      <c r="E3" s="162" t="s">
        <v>17</v>
      </c>
      <c r="F3" s="164"/>
    </row>
    <row r="4" spans="1:10">
      <c r="A4" s="70" t="s">
        <v>50</v>
      </c>
      <c r="B4" s="38">
        <f>'P1'!B25</f>
        <v>0</v>
      </c>
      <c r="C4" s="38">
        <f>'P1'!C25</f>
        <v>0</v>
      </c>
      <c r="D4" s="38">
        <f>'P1'!D25</f>
        <v>0</v>
      </c>
      <c r="E4" s="141"/>
      <c r="F4" s="143"/>
    </row>
    <row r="5" spans="1:10" ht="20.25" customHeight="1">
      <c r="A5" s="98" t="s">
        <v>217</v>
      </c>
      <c r="B5" s="209"/>
      <c r="C5" s="209"/>
      <c r="D5" s="209"/>
      <c r="E5" s="170" t="s">
        <v>47</v>
      </c>
      <c r="F5" s="211">
        <f>SUM(B5:D5)</f>
        <v>0</v>
      </c>
    </row>
    <row r="6" spans="1:10" ht="17.25" customHeight="1">
      <c r="A6" s="100" t="s">
        <v>19</v>
      </c>
      <c r="B6" s="210"/>
      <c r="C6" s="210"/>
      <c r="D6" s="210"/>
      <c r="E6" s="171"/>
      <c r="F6" s="212"/>
    </row>
    <row r="7" spans="1:10" ht="18.75" customHeight="1">
      <c r="A7" s="99" t="s">
        <v>218</v>
      </c>
      <c r="B7" s="209"/>
      <c r="C7" s="209"/>
      <c r="D7" s="209"/>
      <c r="E7" s="170" t="s">
        <v>39</v>
      </c>
      <c r="F7" s="211">
        <f>SUM(B7:D7)</f>
        <v>0</v>
      </c>
    </row>
    <row r="8" spans="1:10" ht="21.75" customHeight="1">
      <c r="A8" s="39" t="s">
        <v>22</v>
      </c>
      <c r="B8" s="210"/>
      <c r="C8" s="210"/>
      <c r="D8" s="210"/>
      <c r="E8" s="171"/>
      <c r="F8" s="212"/>
    </row>
    <row r="9" spans="1:10" ht="19.5" customHeight="1">
      <c r="A9" s="69" t="s">
        <v>171</v>
      </c>
      <c r="B9" s="203"/>
      <c r="C9" s="203"/>
      <c r="D9" s="203"/>
      <c r="E9" s="170" t="s">
        <v>26</v>
      </c>
      <c r="F9" s="206"/>
    </row>
    <row r="10" spans="1:10">
      <c r="A10" s="102" t="s">
        <v>172</v>
      </c>
      <c r="B10" s="204"/>
      <c r="C10" s="204"/>
      <c r="D10" s="204"/>
      <c r="E10" s="199"/>
      <c r="F10" s="207"/>
    </row>
    <row r="11" spans="1:10">
      <c r="A11" s="101">
        <v>3</v>
      </c>
      <c r="B11" s="205"/>
      <c r="C11" s="205"/>
      <c r="D11" s="205"/>
      <c r="E11" s="171"/>
      <c r="F11" s="208"/>
    </row>
    <row r="12" spans="1:10" ht="24">
      <c r="A12" s="69" t="s">
        <v>51</v>
      </c>
      <c r="B12" s="197"/>
      <c r="C12" s="198"/>
      <c r="D12" s="198"/>
      <c r="E12" s="170" t="s">
        <v>52</v>
      </c>
      <c r="F12" s="200" t="e">
        <f>F5/F7*F9</f>
        <v>#DIV/0!</v>
      </c>
    </row>
    <row r="13" spans="1:10">
      <c r="A13" s="70" t="s">
        <v>173</v>
      </c>
      <c r="B13" s="197"/>
      <c r="C13" s="198"/>
      <c r="D13" s="198"/>
      <c r="E13" s="199"/>
      <c r="F13" s="201"/>
    </row>
    <row r="14" spans="1:10">
      <c r="A14" s="64" t="s">
        <v>174</v>
      </c>
      <c r="B14" s="197"/>
      <c r="C14" s="198"/>
      <c r="D14" s="198"/>
      <c r="E14" s="171"/>
      <c r="F14" s="202"/>
    </row>
    <row r="16" spans="1:10">
      <c r="A16" s="80" t="s">
        <v>87</v>
      </c>
      <c r="B16" s="80"/>
    </row>
    <row r="18" spans="1:10">
      <c r="A18" s="81" t="s">
        <v>175</v>
      </c>
    </row>
    <row r="19" spans="1:10">
      <c r="A19" s="173" t="s">
        <v>78</v>
      </c>
      <c r="B19" s="173"/>
      <c r="C19" s="173"/>
      <c r="D19" s="173"/>
      <c r="E19" s="175" t="s">
        <v>53</v>
      </c>
      <c r="F19" s="176"/>
    </row>
    <row r="20" spans="1:10">
      <c r="A20" s="173" t="s">
        <v>79</v>
      </c>
      <c r="B20" s="174"/>
      <c r="C20" s="174"/>
      <c r="D20" s="174"/>
      <c r="E20" s="180"/>
      <c r="F20" s="181"/>
    </row>
    <row r="21" spans="1:10">
      <c r="A21" s="173" t="s">
        <v>80</v>
      </c>
      <c r="B21" s="174"/>
      <c r="C21" s="174"/>
      <c r="D21" s="174"/>
      <c r="E21" s="180"/>
      <c r="F21" s="181"/>
    </row>
    <row r="22" spans="1:10">
      <c r="A22" s="173" t="s">
        <v>81</v>
      </c>
      <c r="B22" s="174"/>
      <c r="C22" s="174"/>
      <c r="D22" s="174"/>
      <c r="E22" s="180"/>
      <c r="F22" s="181"/>
    </row>
    <row r="23" spans="1:10">
      <c r="A23" s="182" t="s">
        <v>82</v>
      </c>
      <c r="B23" s="183"/>
      <c r="C23" s="183"/>
      <c r="D23" s="183"/>
      <c r="E23" s="82" t="s">
        <v>83</v>
      </c>
      <c r="F23" s="79">
        <f>E20+E21-E22</f>
        <v>0</v>
      </c>
    </row>
    <row r="24" spans="1:10" ht="16.5" customHeight="1">
      <c r="A24" s="184"/>
      <c r="B24" s="185"/>
      <c r="C24" s="185"/>
      <c r="D24" s="185"/>
      <c r="E24" s="83"/>
      <c r="F24" s="84"/>
    </row>
    <row r="26" spans="1:10">
      <c r="A26" s="186" t="s">
        <v>176</v>
      </c>
      <c r="B26" s="186"/>
      <c r="C26" s="186"/>
      <c r="D26" s="186"/>
      <c r="E26" s="186"/>
      <c r="F26" s="186"/>
      <c r="G26" s="186"/>
      <c r="H26" s="186"/>
      <c r="I26" s="186"/>
      <c r="J26" s="186"/>
    </row>
    <row r="27" spans="1:10">
      <c r="A27" s="103"/>
      <c r="B27" s="103"/>
      <c r="C27" s="103"/>
      <c r="D27" s="103"/>
      <c r="E27" s="103"/>
      <c r="F27" s="103"/>
      <c r="G27" s="103"/>
      <c r="H27" s="103"/>
      <c r="I27" s="103"/>
      <c r="J27" s="103"/>
    </row>
    <row r="28" spans="1:10">
      <c r="A28" s="85"/>
      <c r="C28" s="86"/>
      <c r="D28" s="87" t="s">
        <v>53</v>
      </c>
      <c r="E28" s="87"/>
      <c r="F28" s="88"/>
    </row>
    <row r="29" spans="1:10" ht="16.5" customHeight="1">
      <c r="A29" s="187" t="s">
        <v>15</v>
      </c>
      <c r="B29" s="188"/>
      <c r="C29" s="189">
        <f>'P1'!B25</f>
        <v>0</v>
      </c>
      <c r="D29" s="189">
        <f>'P1'!C25</f>
        <v>0</v>
      </c>
      <c r="E29" s="191">
        <f>'P1'!D25</f>
        <v>0</v>
      </c>
      <c r="F29" s="192"/>
    </row>
    <row r="30" spans="1:10">
      <c r="A30" s="195" t="s">
        <v>54</v>
      </c>
      <c r="B30" s="196"/>
      <c r="C30" s="190"/>
      <c r="D30" s="190"/>
      <c r="E30" s="193"/>
      <c r="F30" s="194"/>
    </row>
    <row r="31" spans="1:10">
      <c r="A31" s="179" t="s">
        <v>177</v>
      </c>
      <c r="B31" s="179"/>
      <c r="C31" s="89"/>
      <c r="D31" s="104"/>
      <c r="E31" s="175"/>
      <c r="F31" s="176"/>
    </row>
    <row r="32" spans="1:10">
      <c r="A32" s="173" t="s">
        <v>178</v>
      </c>
      <c r="B32" s="174"/>
      <c r="C32" s="104"/>
      <c r="D32" s="104"/>
      <c r="E32" s="175"/>
      <c r="F32" s="176"/>
    </row>
    <row r="33" spans="1:10">
      <c r="A33" s="173" t="s">
        <v>179</v>
      </c>
      <c r="B33" s="174"/>
      <c r="C33" s="104"/>
      <c r="D33" s="104"/>
      <c r="E33" s="175"/>
      <c r="F33" s="176"/>
    </row>
    <row r="34" spans="1:10">
      <c r="A34" s="173" t="s">
        <v>180</v>
      </c>
      <c r="B34" s="174"/>
      <c r="C34" s="104"/>
      <c r="D34" s="104"/>
      <c r="E34" s="175"/>
      <c r="F34" s="176"/>
    </row>
    <row r="35" spans="1:10">
      <c r="A35" s="173" t="s">
        <v>181</v>
      </c>
      <c r="B35" s="174"/>
      <c r="C35" s="104"/>
      <c r="D35" s="104"/>
      <c r="E35" s="175"/>
      <c r="F35" s="176"/>
    </row>
    <row r="36" spans="1:10">
      <c r="A36" s="173" t="s">
        <v>182</v>
      </c>
      <c r="B36" s="174"/>
      <c r="C36" s="104"/>
      <c r="D36" s="104"/>
      <c r="E36" s="175"/>
      <c r="F36" s="176"/>
    </row>
    <row r="37" spans="1:10">
      <c r="A37" s="173" t="s">
        <v>183</v>
      </c>
      <c r="B37" s="174"/>
      <c r="C37" s="104"/>
      <c r="D37" s="104"/>
      <c r="E37" s="175"/>
      <c r="F37" s="176"/>
    </row>
    <row r="38" spans="1:10">
      <c r="A38" s="173" t="s">
        <v>184</v>
      </c>
      <c r="B38" s="174"/>
      <c r="C38" s="104"/>
      <c r="D38" s="104"/>
      <c r="E38" s="175"/>
      <c r="F38" s="176"/>
    </row>
    <row r="39" spans="1:10">
      <c r="A39" s="173" t="s">
        <v>185</v>
      </c>
      <c r="B39" s="174"/>
      <c r="C39" s="104"/>
      <c r="D39" s="104"/>
      <c r="E39" s="175"/>
      <c r="F39" s="176"/>
    </row>
    <row r="40" spans="1:10">
      <c r="A40" s="173" t="s">
        <v>186</v>
      </c>
      <c r="B40" s="174"/>
      <c r="C40" s="104"/>
      <c r="D40" s="104"/>
      <c r="E40" s="175"/>
      <c r="F40" s="176"/>
    </row>
    <row r="41" spans="1:10">
      <c r="A41" s="177" t="s">
        <v>55</v>
      </c>
      <c r="B41" s="174"/>
      <c r="C41" s="104" t="e">
        <f>#REF!</f>
        <v>#REF!</v>
      </c>
      <c r="D41" s="104" t="e">
        <f>#REF!</f>
        <v>#REF!</v>
      </c>
      <c r="E41" s="175" t="e">
        <f>#REF!</f>
        <v>#REF!</v>
      </c>
      <c r="F41" s="176"/>
    </row>
    <row r="42" spans="1:10">
      <c r="A42" s="178" t="s">
        <v>88</v>
      </c>
      <c r="B42" s="178"/>
      <c r="C42" s="178"/>
      <c r="D42" s="178"/>
      <c r="E42" s="178"/>
      <c r="F42" s="178"/>
      <c r="G42" s="178"/>
      <c r="H42" s="178"/>
      <c r="I42" s="178"/>
      <c r="J42" s="178"/>
    </row>
    <row r="43" spans="1:10">
      <c r="A43" s="172" t="s">
        <v>56</v>
      </c>
      <c r="B43" s="172"/>
      <c r="C43" s="172"/>
      <c r="D43" s="172"/>
      <c r="E43" s="172"/>
      <c r="F43" s="172"/>
      <c r="G43" s="172"/>
      <c r="H43" s="172"/>
      <c r="I43" s="172"/>
      <c r="J43" s="172"/>
    </row>
    <row r="44" spans="1:10">
      <c r="A44" s="90" t="s">
        <v>187</v>
      </c>
    </row>
    <row r="45" spans="1:10">
      <c r="A45" s="90" t="s">
        <v>188</v>
      </c>
      <c r="B45" s="90"/>
      <c r="C45" s="90"/>
      <c r="D45" s="90"/>
      <c r="E45" s="90"/>
      <c r="F45" s="90"/>
      <c r="G45" s="90"/>
      <c r="H45" s="90"/>
      <c r="I45" s="90"/>
      <c r="J45" s="90"/>
    </row>
    <row r="46" spans="1:10">
      <c r="A46" s="77" t="s">
        <v>189</v>
      </c>
      <c r="B46" s="90"/>
      <c r="C46" s="90"/>
      <c r="D46" s="90"/>
      <c r="E46" s="90"/>
      <c r="F46" s="90"/>
      <c r="G46" s="90"/>
      <c r="H46" s="90"/>
      <c r="I46" s="90"/>
      <c r="J46" s="90"/>
    </row>
  </sheetData>
  <mergeCells count="61">
    <mergeCell ref="A1:J1"/>
    <mergeCell ref="E3:F4"/>
    <mergeCell ref="B9:B11"/>
    <mergeCell ref="C9:C11"/>
    <mergeCell ref="D9:D11"/>
    <mergeCell ref="E9:E11"/>
    <mergeCell ref="F9:F11"/>
    <mergeCell ref="C5:C6"/>
    <mergeCell ref="D5:D6"/>
    <mergeCell ref="B5:B6"/>
    <mergeCell ref="C7:C8"/>
    <mergeCell ref="D7:D8"/>
    <mergeCell ref="F5:F6"/>
    <mergeCell ref="B7:B8"/>
    <mergeCell ref="F7:F8"/>
    <mergeCell ref="E5:E6"/>
    <mergeCell ref="B12:B14"/>
    <mergeCell ref="C12:C14"/>
    <mergeCell ref="D12:D14"/>
    <mergeCell ref="E12:E14"/>
    <mergeCell ref="F12:F14"/>
    <mergeCell ref="A19:D19"/>
    <mergeCell ref="E19:F19"/>
    <mergeCell ref="A20:D20"/>
    <mergeCell ref="E20:F20"/>
    <mergeCell ref="A21:D21"/>
    <mergeCell ref="E21:F21"/>
    <mergeCell ref="A22:D22"/>
    <mergeCell ref="E22:F22"/>
    <mergeCell ref="A23:D24"/>
    <mergeCell ref="A26:J26"/>
    <mergeCell ref="A29:B29"/>
    <mergeCell ref="C29:C30"/>
    <mergeCell ref="D29:D30"/>
    <mergeCell ref="E29:F30"/>
    <mergeCell ref="A30:B30"/>
    <mergeCell ref="E35:F35"/>
    <mergeCell ref="A36:B36"/>
    <mergeCell ref="E36:F36"/>
    <mergeCell ref="A31:B31"/>
    <mergeCell ref="E31:F31"/>
    <mergeCell ref="A32:B32"/>
    <mergeCell ref="E32:F32"/>
    <mergeCell ref="A33:B33"/>
    <mergeCell ref="E33:F33"/>
    <mergeCell ref="E7:E8"/>
    <mergeCell ref="A43:J43"/>
    <mergeCell ref="A40:B40"/>
    <mergeCell ref="E40:F40"/>
    <mergeCell ref="A41:B41"/>
    <mergeCell ref="E41:F41"/>
    <mergeCell ref="A42:J42"/>
    <mergeCell ref="A37:B37"/>
    <mergeCell ref="E37:F37"/>
    <mergeCell ref="A38:B38"/>
    <mergeCell ref="E38:F38"/>
    <mergeCell ref="A39:B39"/>
    <mergeCell ref="E39:F39"/>
    <mergeCell ref="A34:B34"/>
    <mergeCell ref="E34:F34"/>
    <mergeCell ref="A35:B35"/>
  </mergeCells>
  <phoneticPr fontId="7" type="noConversion"/>
  <pageMargins left="0.7" right="0.7" top="0.75" bottom="0.75" header="0.3" footer="0.3"/>
  <pageSetup paperSize="9" orientation="portrait" verticalDpi="36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8"/>
  <sheetViews>
    <sheetView workbookViewId="0">
      <selection activeCell="I10" sqref="I10"/>
    </sheetView>
  </sheetViews>
  <sheetFormatPr baseColWidth="10" defaultColWidth="8.83203125" defaultRowHeight="15" x14ac:dyDescent="0"/>
  <cols>
    <col min="1" max="1" width="9.6640625" style="2" customWidth="1"/>
    <col min="2" max="2" width="8.5" style="2" customWidth="1"/>
    <col min="3" max="11" width="6.1640625" style="2" customWidth="1"/>
    <col min="12" max="14" width="7.1640625" style="2" customWidth="1"/>
    <col min="15" max="15" width="0.1640625" style="2" customWidth="1"/>
    <col min="16" max="16" width="6" style="2" customWidth="1"/>
    <col min="17" max="17" width="6.1640625" style="2" customWidth="1"/>
    <col min="18" max="18" width="5.6640625" style="2" customWidth="1"/>
    <col min="19" max="19" width="6.5" style="2" customWidth="1"/>
    <col min="20" max="16384" width="8.83203125" style="2"/>
  </cols>
  <sheetData>
    <row r="1" spans="1:19">
      <c r="A1" s="119" t="s">
        <v>98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</row>
    <row r="2" spans="1:19" ht="21.75" customHeight="1">
      <c r="A2" s="238" t="s">
        <v>57</v>
      </c>
      <c r="B2" s="239"/>
      <c r="C2" s="244" t="s">
        <v>58</v>
      </c>
      <c r="D2" s="245"/>
      <c r="E2" s="244" t="s">
        <v>104</v>
      </c>
      <c r="F2" s="248"/>
      <c r="G2" s="245"/>
      <c r="H2" s="244" t="s">
        <v>106</v>
      </c>
      <c r="I2" s="248"/>
      <c r="J2" s="245"/>
      <c r="K2" s="220" t="s">
        <v>101</v>
      </c>
      <c r="L2" s="249"/>
      <c r="M2" s="221"/>
      <c r="N2" s="21"/>
      <c r="O2" s="21"/>
    </row>
    <row r="3" spans="1:19" ht="21.75" customHeight="1">
      <c r="A3" s="240"/>
      <c r="B3" s="241"/>
      <c r="C3" s="246"/>
      <c r="D3" s="247"/>
      <c r="E3" s="253" t="s">
        <v>105</v>
      </c>
      <c r="F3" s="254"/>
      <c r="G3" s="255"/>
      <c r="H3" s="253" t="s">
        <v>107</v>
      </c>
      <c r="I3" s="254"/>
      <c r="J3" s="255"/>
      <c r="K3" s="250"/>
      <c r="L3" s="251"/>
      <c r="M3" s="252"/>
      <c r="N3" s="21"/>
      <c r="O3" s="21"/>
    </row>
    <row r="4" spans="1:19" ht="24" customHeight="1">
      <c r="A4" s="242"/>
      <c r="B4" s="243"/>
      <c r="C4" s="36" t="s">
        <v>109</v>
      </c>
      <c r="D4" s="36" t="s">
        <v>59</v>
      </c>
      <c r="E4" s="27"/>
      <c r="F4" s="33"/>
      <c r="G4" s="28"/>
      <c r="H4" s="27"/>
      <c r="I4" s="33"/>
      <c r="J4" s="34"/>
      <c r="K4" s="218" t="s">
        <v>100</v>
      </c>
      <c r="L4" s="256"/>
      <c r="M4" s="223"/>
      <c r="N4" s="29"/>
      <c r="O4" s="25"/>
    </row>
    <row r="5" spans="1:19" ht="16.5" customHeight="1">
      <c r="A5" s="235"/>
      <c r="B5" s="236"/>
      <c r="C5" s="235" t="e">
        <f>#REF!</f>
        <v>#REF!</v>
      </c>
      <c r="D5" s="237"/>
      <c r="E5" s="235">
        <v>0</v>
      </c>
      <c r="F5" s="237"/>
      <c r="G5" s="236"/>
      <c r="H5" s="235">
        <v>0</v>
      </c>
      <c r="I5" s="237"/>
      <c r="J5" s="236"/>
      <c r="K5" s="235" t="e">
        <f>A5+C5-E5-H5</f>
        <v>#REF!</v>
      </c>
      <c r="L5" s="237"/>
      <c r="M5" s="236"/>
      <c r="N5" s="5"/>
      <c r="O5" s="25"/>
    </row>
    <row r="7" spans="1:19">
      <c r="A7" s="26" t="s">
        <v>99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3"/>
      <c r="O7" s="23"/>
      <c r="P7" s="23"/>
      <c r="Q7" s="23"/>
      <c r="R7" s="23"/>
    </row>
    <row r="8" spans="1:19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3"/>
      <c r="O8" s="23"/>
      <c r="P8" s="23"/>
      <c r="Q8" s="23"/>
      <c r="R8" s="23"/>
    </row>
    <row r="9" spans="1:19" ht="17.25" customHeight="1">
      <c r="A9" s="227" t="s">
        <v>15</v>
      </c>
      <c r="B9" s="228"/>
      <c r="C9" s="229">
        <f>'P1'!B25</f>
        <v>0</v>
      </c>
      <c r="D9" s="230"/>
      <c r="E9" s="231"/>
      <c r="F9" s="229">
        <f>'P1'!C25</f>
        <v>0</v>
      </c>
      <c r="G9" s="230"/>
      <c r="H9" s="231"/>
      <c r="I9" s="229">
        <f>'P1'!D25</f>
        <v>0</v>
      </c>
      <c r="J9" s="230"/>
      <c r="K9" s="231"/>
      <c r="L9" s="232" t="s">
        <v>55</v>
      </c>
      <c r="M9" s="233"/>
      <c r="N9" s="234"/>
      <c r="O9" s="21"/>
      <c r="P9" s="21"/>
      <c r="Q9" s="21"/>
      <c r="R9" s="21"/>
      <c r="S9" s="21"/>
    </row>
    <row r="10" spans="1:19" ht="27">
      <c r="A10" s="220" t="s">
        <v>60</v>
      </c>
      <c r="B10" s="221"/>
      <c r="C10" s="30" t="s">
        <v>61</v>
      </c>
      <c r="D10" s="30" t="s">
        <v>62</v>
      </c>
      <c r="E10" s="30" t="s">
        <v>63</v>
      </c>
      <c r="F10" s="30" t="s">
        <v>61</v>
      </c>
      <c r="G10" s="30" t="s">
        <v>62</v>
      </c>
      <c r="H10" s="31" t="s">
        <v>63</v>
      </c>
      <c r="I10" s="30" t="s">
        <v>61</v>
      </c>
      <c r="J10" s="30" t="s">
        <v>62</v>
      </c>
      <c r="K10" s="30" t="s">
        <v>63</v>
      </c>
      <c r="L10" s="30" t="s">
        <v>61</v>
      </c>
      <c r="M10" s="30" t="s">
        <v>62</v>
      </c>
      <c r="N10" s="30" t="s">
        <v>63</v>
      </c>
      <c r="O10" s="25"/>
      <c r="P10" s="25"/>
      <c r="Q10" s="25"/>
      <c r="R10" s="25"/>
      <c r="S10" s="25"/>
    </row>
    <row r="11" spans="1:19">
      <c r="A11" s="220" t="s">
        <v>64</v>
      </c>
      <c r="B11" s="221"/>
      <c r="C11" s="222"/>
      <c r="D11" s="222"/>
      <c r="E11" s="222"/>
      <c r="F11" s="213"/>
      <c r="G11" s="213"/>
      <c r="H11" s="213"/>
      <c r="I11" s="213"/>
      <c r="J11" s="114"/>
      <c r="K11" s="114"/>
      <c r="L11" s="215">
        <f>C11+F11+I11</f>
        <v>0</v>
      </c>
      <c r="M11" s="215">
        <f>D11+G11+J11</f>
        <v>0</v>
      </c>
      <c r="N11" s="216">
        <f>E11+H11+K11</f>
        <v>0</v>
      </c>
      <c r="O11" s="21"/>
      <c r="P11" s="21"/>
      <c r="Q11" s="21"/>
      <c r="R11" s="21"/>
      <c r="S11" s="21"/>
    </row>
    <row r="12" spans="1:19" ht="17.25" customHeight="1">
      <c r="A12" s="218" t="s">
        <v>65</v>
      </c>
      <c r="B12" s="223"/>
      <c r="C12" s="222"/>
      <c r="D12" s="222"/>
      <c r="E12" s="222"/>
      <c r="F12" s="214"/>
      <c r="G12" s="214"/>
      <c r="H12" s="214"/>
      <c r="I12" s="214"/>
      <c r="J12" s="114"/>
      <c r="K12" s="114"/>
      <c r="L12" s="115"/>
      <c r="M12" s="115"/>
      <c r="N12" s="217"/>
      <c r="O12" s="21"/>
      <c r="P12" s="21"/>
      <c r="Q12" s="21"/>
      <c r="R12" s="21"/>
      <c r="S12" s="21"/>
    </row>
    <row r="13" spans="1:19">
      <c r="A13" s="220" t="s">
        <v>66</v>
      </c>
      <c r="B13" s="221"/>
      <c r="C13" s="222"/>
      <c r="D13" s="222"/>
      <c r="E13" s="225"/>
      <c r="F13" s="213"/>
      <c r="G13" s="213"/>
      <c r="H13" s="226"/>
      <c r="I13" s="213"/>
      <c r="J13" s="114"/>
      <c r="K13" s="114"/>
      <c r="L13" s="215">
        <f>C13+F13+I13</f>
        <v>0</v>
      </c>
      <c r="M13" s="215">
        <f>D13+G13+J13</f>
        <v>0</v>
      </c>
      <c r="N13" s="216">
        <f>E13+H13+K13</f>
        <v>0</v>
      </c>
      <c r="O13" s="21"/>
      <c r="P13" s="21"/>
      <c r="Q13" s="21"/>
      <c r="R13" s="21"/>
      <c r="S13" s="21"/>
    </row>
    <row r="14" spans="1:19">
      <c r="A14" s="218" t="s">
        <v>67</v>
      </c>
      <c r="B14" s="219"/>
      <c r="C14" s="222"/>
      <c r="D14" s="222"/>
      <c r="E14" s="114"/>
      <c r="F14" s="214"/>
      <c r="G14" s="214"/>
      <c r="H14" s="214"/>
      <c r="I14" s="214"/>
      <c r="J14" s="114"/>
      <c r="K14" s="114"/>
      <c r="L14" s="115"/>
      <c r="M14" s="115"/>
      <c r="N14" s="115"/>
      <c r="O14" s="21"/>
      <c r="P14" s="21"/>
      <c r="Q14" s="21"/>
      <c r="R14" s="21"/>
      <c r="S14" s="21"/>
    </row>
    <row r="15" spans="1:19">
      <c r="A15" s="220" t="s">
        <v>68</v>
      </c>
      <c r="B15" s="224"/>
      <c r="C15" s="222"/>
      <c r="D15" s="114"/>
      <c r="E15" s="225"/>
      <c r="F15" s="213"/>
      <c r="G15" s="213"/>
      <c r="H15" s="213"/>
      <c r="I15" s="213"/>
      <c r="J15" s="114"/>
      <c r="K15" s="114"/>
      <c r="L15" s="215">
        <f>C15+F15+I15</f>
        <v>0</v>
      </c>
      <c r="M15" s="215">
        <f>D15+G15+J15</f>
        <v>0</v>
      </c>
      <c r="N15" s="216">
        <f>E15+H15+K15</f>
        <v>0</v>
      </c>
      <c r="O15" s="21"/>
      <c r="P15" s="21"/>
      <c r="Q15" s="21"/>
      <c r="R15" s="21"/>
      <c r="S15" s="21"/>
    </row>
    <row r="16" spans="1:19">
      <c r="A16" s="218" t="s">
        <v>69</v>
      </c>
      <c r="B16" s="219"/>
      <c r="C16" s="222"/>
      <c r="D16" s="114"/>
      <c r="E16" s="225"/>
      <c r="F16" s="214"/>
      <c r="G16" s="214"/>
      <c r="H16" s="214"/>
      <c r="I16" s="214"/>
      <c r="J16" s="114"/>
      <c r="K16" s="114"/>
      <c r="L16" s="115"/>
      <c r="M16" s="115"/>
      <c r="N16" s="217"/>
      <c r="O16" s="21"/>
      <c r="P16" s="21"/>
      <c r="Q16" s="21"/>
      <c r="R16" s="21"/>
      <c r="S16" s="21"/>
    </row>
    <row r="17" spans="1:19">
      <c r="A17" s="220" t="s">
        <v>70</v>
      </c>
      <c r="B17" s="221"/>
      <c r="C17" s="222"/>
      <c r="D17" s="114"/>
      <c r="E17" s="114"/>
      <c r="F17" s="213"/>
      <c r="G17" s="213"/>
      <c r="H17" s="213"/>
      <c r="I17" s="213"/>
      <c r="J17" s="114"/>
      <c r="K17" s="114"/>
      <c r="L17" s="215">
        <f>C17+F17+I17</f>
        <v>0</v>
      </c>
      <c r="M17" s="215">
        <f>D17+G17+J17</f>
        <v>0</v>
      </c>
      <c r="N17" s="215">
        <f>E17+H17+K17</f>
        <v>0</v>
      </c>
      <c r="O17" s="21"/>
      <c r="P17" s="21"/>
      <c r="Q17" s="21"/>
      <c r="R17" s="21"/>
      <c r="S17" s="21"/>
    </row>
    <row r="18" spans="1:19" ht="17.25" customHeight="1">
      <c r="A18" s="218" t="s">
        <v>71</v>
      </c>
      <c r="B18" s="223"/>
      <c r="C18" s="222"/>
      <c r="D18" s="114"/>
      <c r="E18" s="114"/>
      <c r="F18" s="214"/>
      <c r="G18" s="214"/>
      <c r="H18" s="214"/>
      <c r="I18" s="214"/>
      <c r="J18" s="114"/>
      <c r="K18" s="114"/>
      <c r="L18" s="115"/>
      <c r="M18" s="115"/>
      <c r="N18" s="115"/>
      <c r="O18" s="21"/>
      <c r="P18" s="21"/>
      <c r="Q18" s="21"/>
      <c r="R18" s="21"/>
      <c r="S18" s="21"/>
    </row>
    <row r="20" spans="1:19" s="32" customFormat="1" ht="13">
      <c r="A20" s="35" t="s">
        <v>190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</row>
    <row r="21" spans="1:19" s="32" customFormat="1" ht="13">
      <c r="A21" s="35" t="s">
        <v>191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</row>
    <row r="22" spans="1:19" s="32" customFormat="1" ht="13"/>
    <row r="23" spans="1:19" s="32" customFormat="1" ht="13">
      <c r="A23" s="35" t="s">
        <v>102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</row>
    <row r="24" spans="1:19" s="32" customFormat="1" ht="13">
      <c r="A24" s="35" t="s">
        <v>108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</row>
    <row r="25" spans="1:19" s="32" customFormat="1" ht="13"/>
    <row r="26" spans="1:19" s="32" customFormat="1" ht="13">
      <c r="A26" s="35" t="s">
        <v>103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</row>
    <row r="27" spans="1:19" s="32" customFormat="1" ht="13">
      <c r="A27" s="35" t="s">
        <v>192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</row>
    <row r="28" spans="1:19" s="32" customFormat="1" ht="13">
      <c r="A28" s="35" t="s">
        <v>193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</row>
    <row r="29" spans="1:19" s="32" customFormat="1" ht="13"/>
    <row r="30" spans="1:19" s="32" customFormat="1" ht="13">
      <c r="A30" s="35" t="s">
        <v>194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</row>
    <row r="31" spans="1:19" s="32" customFormat="1" ht="13">
      <c r="A31" s="35" t="s">
        <v>195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</row>
    <row r="32" spans="1:19" s="32" customFormat="1" ht="13"/>
    <row r="33" spans="1:19" s="32" customFormat="1" ht="13">
      <c r="A33" s="35" t="s">
        <v>196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</row>
    <row r="34" spans="1:19" s="32" customFormat="1" ht="13">
      <c r="A34" s="35" t="s">
        <v>197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</row>
    <row r="35" spans="1:19" s="32" customFormat="1" ht="13">
      <c r="A35" s="35" t="s">
        <v>198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</row>
    <row r="36" spans="1:19" s="32" customFormat="1" ht="13">
      <c r="A36" s="32" t="s">
        <v>199</v>
      </c>
    </row>
    <row r="37" spans="1:19" s="32" customFormat="1" ht="13"/>
    <row r="38" spans="1:19" s="32" customFormat="1" ht="13"/>
    <row r="39" spans="1:19" s="32" customFormat="1" ht="13"/>
    <row r="40" spans="1:19" s="32" customFormat="1" ht="13"/>
    <row r="41" spans="1:19" s="32" customFormat="1" ht="13"/>
    <row r="42" spans="1:19" s="32" customFormat="1" ht="13"/>
    <row r="43" spans="1:19" s="32" customFormat="1" ht="13"/>
    <row r="44" spans="1:19" s="32" customFormat="1" ht="13"/>
    <row r="45" spans="1:19" s="32" customFormat="1" ht="13"/>
    <row r="46" spans="1:19" s="32" customFormat="1" ht="13"/>
    <row r="47" spans="1:19" s="32" customFormat="1" ht="13"/>
    <row r="48" spans="1:19" s="32" customFormat="1" ht="13"/>
    <row r="49" spans="13:13" s="32" customFormat="1" ht="13">
      <c r="M49" s="91"/>
    </row>
    <row r="50" spans="13:13" s="32" customFormat="1" ht="13"/>
    <row r="51" spans="13:13" s="32" customFormat="1" ht="13"/>
    <row r="52" spans="13:13" s="32" customFormat="1" ht="13"/>
    <row r="53" spans="13:13" s="32" customFormat="1" ht="13"/>
    <row r="54" spans="13:13" s="32" customFormat="1" ht="13"/>
    <row r="55" spans="13:13" s="32" customFormat="1" ht="13"/>
    <row r="56" spans="13:13" s="32" customFormat="1" ht="13"/>
    <row r="57" spans="13:13" s="32" customFormat="1" ht="13"/>
    <row r="58" spans="13:13" s="32" customFormat="1" ht="13"/>
    <row r="59" spans="13:13" s="32" customFormat="1" ht="13"/>
    <row r="60" spans="13:13" s="32" customFormat="1" ht="13"/>
    <row r="61" spans="13:13" s="32" customFormat="1" ht="13"/>
    <row r="62" spans="13:13" s="32" customFormat="1" ht="13"/>
    <row r="63" spans="13:13" s="32" customFormat="1" ht="13"/>
    <row r="64" spans="13:13" s="32" customFormat="1" ht="13"/>
    <row r="65" s="32" customFormat="1" ht="13"/>
    <row r="66" s="32" customFormat="1" ht="13"/>
    <row r="67" s="32" customFormat="1" ht="13"/>
    <row r="68" s="32" customFormat="1" ht="13"/>
    <row r="69" s="32" customFormat="1" ht="13"/>
    <row r="70" s="32" customFormat="1" ht="13"/>
    <row r="71" s="32" customFormat="1" ht="13"/>
    <row r="72" s="32" customFormat="1" ht="13"/>
    <row r="73" s="32" customFormat="1" ht="13"/>
    <row r="74" s="32" customFormat="1" ht="13"/>
    <row r="75" s="32" customFormat="1" ht="13"/>
    <row r="76" s="32" customFormat="1" ht="13"/>
    <row r="77" s="32" customFormat="1" ht="13"/>
    <row r="78" s="32" customFormat="1" ht="13"/>
    <row r="79" s="32" customFormat="1" ht="13"/>
    <row r="80" s="32" customFormat="1" ht="13"/>
    <row r="81" s="32" customFormat="1" ht="13"/>
    <row r="82" s="32" customFormat="1" ht="13"/>
    <row r="83" s="32" customFormat="1" ht="13"/>
    <row r="84" s="32" customFormat="1" ht="13"/>
    <row r="85" s="32" customFormat="1" ht="13"/>
    <row r="86" s="32" customFormat="1" ht="13"/>
    <row r="87" s="32" customFormat="1" ht="13"/>
    <row r="88" s="32" customFormat="1" ht="13"/>
    <row r="89" s="32" customFormat="1" ht="13"/>
    <row r="90" s="32" customFormat="1" ht="13"/>
    <row r="91" s="32" customFormat="1" ht="13"/>
    <row r="92" s="32" customFormat="1" ht="13"/>
    <row r="93" s="32" customFormat="1" ht="13"/>
    <row r="94" s="32" customFormat="1" ht="13"/>
    <row r="95" s="32" customFormat="1" ht="13"/>
    <row r="96" s="32" customFormat="1" ht="13"/>
    <row r="97" s="32" customFormat="1" ht="13"/>
    <row r="98" s="32" customFormat="1" ht="13"/>
    <row r="99" s="32" customFormat="1" ht="13"/>
    <row r="100" s="32" customFormat="1" ht="13"/>
    <row r="101" s="32" customFormat="1" ht="13"/>
    <row r="102" s="32" customFormat="1" ht="13"/>
    <row r="103" s="32" customFormat="1" ht="13"/>
    <row r="104" s="32" customFormat="1" ht="13"/>
    <row r="105" s="32" customFormat="1" ht="13"/>
    <row r="106" s="32" customFormat="1" ht="13"/>
    <row r="107" s="32" customFormat="1" ht="13"/>
    <row r="108" s="32" customFormat="1" ht="13"/>
    <row r="109" s="32" customFormat="1" ht="13"/>
    <row r="110" s="32" customFormat="1" ht="13"/>
    <row r="111" s="32" customFormat="1" ht="13"/>
    <row r="112" s="32" customFormat="1" ht="13"/>
    <row r="113" s="32" customFormat="1" ht="13"/>
    <row r="114" s="32" customFormat="1" ht="13"/>
    <row r="115" s="32" customFormat="1" ht="13"/>
    <row r="116" s="32" customFormat="1" ht="13"/>
    <row r="117" s="32" customFormat="1" ht="13"/>
    <row r="118" s="32" customFormat="1" ht="13"/>
    <row r="119" s="32" customFormat="1" ht="13"/>
    <row r="120" s="32" customFormat="1" ht="13"/>
    <row r="121" s="32" customFormat="1" ht="13"/>
    <row r="122" s="32" customFormat="1" ht="13"/>
    <row r="123" s="32" customFormat="1" ht="13"/>
    <row r="124" s="32" customFormat="1" ht="13"/>
    <row r="125" s="32" customFormat="1" ht="13"/>
    <row r="126" s="32" customFormat="1" ht="13"/>
    <row r="127" s="32" customFormat="1" ht="13"/>
    <row r="128" s="32" customFormat="1" ht="13"/>
    <row r="129" s="32" customFormat="1" ht="13"/>
    <row r="130" s="32" customFormat="1" ht="13"/>
    <row r="131" s="32" customFormat="1" ht="13"/>
    <row r="132" s="32" customFormat="1" ht="13"/>
    <row r="133" s="32" customFormat="1" ht="13"/>
    <row r="134" s="32" customFormat="1" ht="13"/>
    <row r="135" s="32" customFormat="1" ht="13"/>
    <row r="136" s="32" customFormat="1" ht="13"/>
    <row r="137" s="32" customFormat="1" ht="13"/>
    <row r="138" s="32" customFormat="1" ht="13"/>
    <row r="139" s="32" customFormat="1" ht="13"/>
    <row r="140" s="32" customFormat="1" ht="13"/>
    <row r="141" s="32" customFormat="1" ht="13"/>
    <row r="142" s="32" customFormat="1" ht="13"/>
    <row r="143" s="32" customFormat="1" ht="13"/>
    <row r="144" s="32" customFormat="1" ht="13"/>
    <row r="145" s="32" customFormat="1" ht="13"/>
    <row r="146" s="32" customFormat="1" ht="13"/>
    <row r="147" s="32" customFormat="1" ht="13"/>
    <row r="148" s="32" customFormat="1" ht="13"/>
    <row r="149" s="32" customFormat="1" ht="13"/>
    <row r="150" s="32" customFormat="1" ht="13"/>
    <row r="151" s="32" customFormat="1" ht="13"/>
    <row r="152" s="32" customFormat="1" ht="13"/>
    <row r="153" s="32" customFormat="1" ht="13"/>
    <row r="154" s="32" customFormat="1" ht="13"/>
    <row r="155" s="32" customFormat="1" ht="13"/>
    <row r="156" s="32" customFormat="1" ht="13"/>
    <row r="157" s="32" customFormat="1" ht="13"/>
    <row r="158" s="32" customFormat="1" ht="13"/>
    <row r="159" s="32" customFormat="1" ht="13"/>
    <row r="160" s="32" customFormat="1" ht="13"/>
    <row r="161" s="32" customFormat="1" ht="13"/>
    <row r="162" s="32" customFormat="1" ht="13"/>
    <row r="163" s="32" customFormat="1" ht="13"/>
    <row r="164" s="32" customFormat="1" ht="13"/>
    <row r="165" s="32" customFormat="1" ht="13"/>
    <row r="166" s="32" customFormat="1" ht="13"/>
    <row r="167" s="32" customFormat="1" ht="13"/>
    <row r="168" s="32" customFormat="1" ht="13"/>
    <row r="169" s="32" customFormat="1" ht="13"/>
    <row r="170" s="32" customFormat="1" ht="13"/>
    <row r="171" s="32" customFormat="1" ht="13"/>
    <row r="172" s="32" customFormat="1" ht="13"/>
    <row r="173" s="32" customFormat="1" ht="13"/>
    <row r="174" s="32" customFormat="1" ht="13"/>
    <row r="175" s="32" customFormat="1" ht="13"/>
    <row r="176" s="32" customFormat="1" ht="13"/>
    <row r="177" s="32" customFormat="1" ht="13"/>
    <row r="178" s="32" customFormat="1" ht="13"/>
    <row r="179" s="32" customFormat="1" ht="13"/>
    <row r="180" s="32" customFormat="1" ht="13"/>
    <row r="181" s="32" customFormat="1" ht="13"/>
    <row r="182" s="32" customFormat="1" ht="13"/>
    <row r="183" s="32" customFormat="1" ht="13"/>
    <row r="184" s="32" customFormat="1" ht="13"/>
    <row r="185" s="32" customFormat="1" ht="13"/>
    <row r="186" s="32" customFormat="1" ht="13"/>
    <row r="187" s="32" customFormat="1" ht="13"/>
    <row r="188" s="32" customFormat="1" ht="13"/>
    <row r="189" s="32" customFormat="1" ht="13"/>
    <row r="190" s="32" customFormat="1" ht="13"/>
    <row r="191" s="32" customFormat="1" ht="13"/>
    <row r="192" s="32" customFormat="1" ht="13"/>
    <row r="193" s="32" customFormat="1" ht="13"/>
    <row r="194" s="32" customFormat="1" ht="13"/>
    <row r="195" s="32" customFormat="1" ht="13"/>
    <row r="196" s="32" customFormat="1" ht="13"/>
    <row r="197" s="32" customFormat="1" ht="13"/>
    <row r="198" s="32" customFormat="1" ht="13"/>
    <row r="199" s="32" customFormat="1" ht="13"/>
    <row r="200" s="32" customFormat="1" ht="13"/>
    <row r="201" s="32" customFormat="1" ht="13"/>
    <row r="202" s="32" customFormat="1" ht="13"/>
    <row r="203" s="32" customFormat="1" ht="13"/>
    <row r="204" s="32" customFormat="1" ht="13"/>
    <row r="205" s="32" customFormat="1" ht="13"/>
    <row r="206" s="32" customFormat="1" ht="13"/>
    <row r="207" s="32" customFormat="1" ht="13"/>
    <row r="208" s="32" customFormat="1" ht="13"/>
    <row r="209" s="32" customFormat="1" ht="13"/>
    <row r="210" s="32" customFormat="1" ht="13"/>
    <row r="211" s="32" customFormat="1" ht="13"/>
    <row r="212" s="32" customFormat="1" ht="13"/>
    <row r="213" s="32" customFormat="1" ht="13"/>
    <row r="214" s="32" customFormat="1" ht="13"/>
    <row r="215" s="32" customFormat="1" ht="13"/>
    <row r="216" s="32" customFormat="1" ht="13"/>
    <row r="217" s="32" customFormat="1" ht="13"/>
    <row r="218" s="32" customFormat="1" ht="13"/>
    <row r="219" s="32" customFormat="1" ht="13"/>
    <row r="220" s="32" customFormat="1" ht="13"/>
    <row r="221" s="32" customFormat="1" ht="13"/>
    <row r="222" s="32" customFormat="1" ht="13"/>
    <row r="223" s="32" customFormat="1" ht="13"/>
    <row r="224" s="32" customFormat="1" ht="13"/>
    <row r="225" s="32" customFormat="1" ht="13"/>
    <row r="226" s="32" customFormat="1" ht="13"/>
    <row r="227" s="32" customFormat="1" ht="13"/>
    <row r="228" s="32" customFormat="1" ht="13"/>
    <row r="229" s="32" customFormat="1" ht="13"/>
    <row r="230" s="32" customFormat="1" ht="13"/>
    <row r="231" s="32" customFormat="1" ht="13"/>
    <row r="232" s="32" customFormat="1" ht="13"/>
    <row r="233" s="32" customFormat="1" ht="13"/>
    <row r="234" s="32" customFormat="1" ht="13"/>
    <row r="235" s="32" customFormat="1" ht="13"/>
    <row r="236" s="32" customFormat="1" ht="13"/>
    <row r="237" s="32" customFormat="1" ht="13"/>
    <row r="238" s="32" customFormat="1" ht="13"/>
    <row r="239" s="32" customFormat="1" ht="13"/>
    <row r="240" s="32" customFormat="1" ht="13"/>
    <row r="241" s="32" customFormat="1" ht="13"/>
    <row r="242" s="32" customFormat="1" ht="13"/>
    <row r="243" s="32" customFormat="1" ht="13"/>
    <row r="244" s="32" customFormat="1" ht="13"/>
    <row r="245" s="32" customFormat="1" ht="13"/>
    <row r="246" s="32" customFormat="1" ht="13"/>
    <row r="247" s="32" customFormat="1" ht="13"/>
    <row r="248" s="32" customFormat="1" ht="13"/>
    <row r="249" s="32" customFormat="1" ht="13"/>
    <row r="250" s="32" customFormat="1" ht="13"/>
    <row r="251" s="32" customFormat="1" ht="13"/>
    <row r="252" s="32" customFormat="1" ht="13"/>
    <row r="253" s="32" customFormat="1" ht="13"/>
    <row r="254" s="32" customFormat="1" ht="13"/>
    <row r="255" s="32" customFormat="1" ht="13"/>
    <row r="256" s="32" customFormat="1" ht="13"/>
    <row r="257" s="32" customFormat="1" ht="13"/>
    <row r="258" s="32" customFormat="1" ht="13"/>
    <row r="259" s="32" customFormat="1" ht="13"/>
    <row r="260" s="32" customFormat="1" ht="13"/>
    <row r="261" s="32" customFormat="1" ht="13"/>
    <row r="262" s="32" customFormat="1" ht="13"/>
    <row r="263" s="32" customFormat="1" ht="13"/>
    <row r="264" s="32" customFormat="1" ht="13"/>
    <row r="265" s="32" customFormat="1" ht="13"/>
    <row r="266" s="32" customFormat="1" ht="13"/>
    <row r="267" s="32" customFormat="1" ht="13"/>
    <row r="268" s="32" customFormat="1" ht="13"/>
    <row r="269" s="32" customFormat="1" ht="13"/>
    <row r="270" s="32" customFormat="1" ht="13"/>
    <row r="271" s="32" customFormat="1" ht="13"/>
    <row r="272" s="32" customFormat="1" ht="13"/>
    <row r="273" s="32" customFormat="1" ht="13"/>
    <row r="274" s="32" customFormat="1" ht="13"/>
    <row r="275" s="32" customFormat="1" ht="13"/>
    <row r="276" s="32" customFormat="1" ht="13"/>
    <row r="277" s="32" customFormat="1" ht="13"/>
    <row r="278" s="32" customFormat="1" ht="13"/>
    <row r="279" s="32" customFormat="1" ht="13"/>
    <row r="280" s="32" customFormat="1" ht="13"/>
    <row r="281" s="32" customFormat="1" ht="13"/>
    <row r="282" s="32" customFormat="1" ht="13"/>
    <row r="283" s="32" customFormat="1" ht="13"/>
    <row r="284" s="32" customFormat="1" ht="13"/>
    <row r="285" s="32" customFormat="1" ht="13"/>
    <row r="286" s="32" customFormat="1" ht="13"/>
    <row r="287" s="32" customFormat="1" ht="13"/>
    <row r="288" s="32" customFormat="1" ht="13"/>
    <row r="289" s="32" customFormat="1" ht="13"/>
    <row r="290" s="32" customFormat="1" ht="13"/>
    <row r="291" s="32" customFormat="1" ht="13"/>
    <row r="292" s="32" customFormat="1" ht="13"/>
    <row r="293" s="32" customFormat="1" ht="13"/>
    <row r="294" s="32" customFormat="1" ht="13"/>
    <row r="295" s="32" customFormat="1" ht="13"/>
    <row r="296" s="32" customFormat="1" ht="13"/>
    <row r="297" s="32" customFormat="1" ht="13"/>
    <row r="298" s="32" customFormat="1" ht="13"/>
    <row r="299" s="32" customFormat="1" ht="13"/>
    <row r="300" s="32" customFormat="1" ht="13"/>
    <row r="301" s="32" customFormat="1" ht="13"/>
    <row r="302" s="32" customFormat="1" ht="13"/>
    <row r="303" s="32" customFormat="1" ht="13"/>
    <row r="304" s="32" customFormat="1" ht="13"/>
    <row r="305" s="32" customFormat="1" ht="13"/>
    <row r="306" s="32" customFormat="1" ht="13"/>
    <row r="307" s="32" customFormat="1" ht="13"/>
    <row r="308" s="32" customFormat="1" ht="13"/>
    <row r="309" s="32" customFormat="1" ht="13"/>
    <row r="310" s="32" customFormat="1" ht="13"/>
    <row r="311" s="32" customFormat="1" ht="13"/>
    <row r="312" s="32" customFormat="1" ht="13"/>
    <row r="313" s="32" customFormat="1" ht="13"/>
    <row r="314" s="32" customFormat="1" ht="13"/>
    <row r="315" s="32" customFormat="1" ht="13"/>
    <row r="316" s="32" customFormat="1" ht="13"/>
    <row r="317" s="32" customFormat="1" ht="13"/>
    <row r="318" s="32" customFormat="1" ht="13"/>
    <row r="319" s="32" customFormat="1" ht="13"/>
    <row r="320" s="32" customFormat="1" ht="13"/>
    <row r="321" s="32" customFormat="1" ht="13"/>
    <row r="322" s="32" customFormat="1" ht="13"/>
    <row r="323" s="32" customFormat="1" ht="13"/>
    <row r="324" s="32" customFormat="1" ht="13"/>
    <row r="325" s="32" customFormat="1" ht="13"/>
    <row r="326" s="32" customFormat="1" ht="13"/>
    <row r="327" s="32" customFormat="1" ht="13"/>
    <row r="328" s="32" customFormat="1" ht="13"/>
    <row r="329" s="32" customFormat="1" ht="13"/>
    <row r="330" s="32" customFormat="1" ht="13"/>
    <row r="331" s="32" customFormat="1" ht="13"/>
    <row r="332" s="32" customFormat="1" ht="13"/>
    <row r="333" s="32" customFormat="1" ht="13"/>
    <row r="334" s="32" customFormat="1" ht="13"/>
    <row r="335" s="32" customFormat="1" ht="13"/>
    <row r="336" s="32" customFormat="1" ht="13"/>
    <row r="337" s="32" customFormat="1" ht="13"/>
    <row r="338" s="32" customFormat="1" ht="13"/>
  </sheetData>
  <mergeCells count="76">
    <mergeCell ref="A1:O1"/>
    <mergeCell ref="A2:B4"/>
    <mergeCell ref="C2:D3"/>
    <mergeCell ref="E2:G2"/>
    <mergeCell ref="H2:J2"/>
    <mergeCell ref="K2:M3"/>
    <mergeCell ref="E3:G3"/>
    <mergeCell ref="H3:J3"/>
    <mergeCell ref="K4:M4"/>
    <mergeCell ref="A5:B5"/>
    <mergeCell ref="C5:D5"/>
    <mergeCell ref="E5:G5"/>
    <mergeCell ref="H5:J5"/>
    <mergeCell ref="K5:M5"/>
    <mergeCell ref="A9:B9"/>
    <mergeCell ref="C9:E9"/>
    <mergeCell ref="F9:H9"/>
    <mergeCell ref="I9:K9"/>
    <mergeCell ref="L9:N9"/>
    <mergeCell ref="A10:B10"/>
    <mergeCell ref="A11:B11"/>
    <mergeCell ref="C11:C12"/>
    <mergeCell ref="D11:D12"/>
    <mergeCell ref="E11:E12"/>
    <mergeCell ref="K11:K12"/>
    <mergeCell ref="L11:L12"/>
    <mergeCell ref="M11:M12"/>
    <mergeCell ref="N11:N12"/>
    <mergeCell ref="A12:B12"/>
    <mergeCell ref="F11:F12"/>
    <mergeCell ref="G11:G12"/>
    <mergeCell ref="H11:H12"/>
    <mergeCell ref="I11:I12"/>
    <mergeCell ref="J11:J12"/>
    <mergeCell ref="A13:B13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M17:M18"/>
    <mergeCell ref="L13:L14"/>
    <mergeCell ref="M13:M14"/>
    <mergeCell ref="N13:N14"/>
    <mergeCell ref="A14:B14"/>
    <mergeCell ref="A15:B15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H17:H18"/>
    <mergeCell ref="N17:N18"/>
    <mergeCell ref="M15:M16"/>
    <mergeCell ref="N15:N16"/>
    <mergeCell ref="A16:B16"/>
    <mergeCell ref="A17:B17"/>
    <mergeCell ref="C17:C18"/>
    <mergeCell ref="D17:D18"/>
    <mergeCell ref="E17:E18"/>
    <mergeCell ref="F17:F18"/>
    <mergeCell ref="G17:G18"/>
    <mergeCell ref="A18:B18"/>
    <mergeCell ref="I17:I18"/>
    <mergeCell ref="J17:J18"/>
    <mergeCell ref="K17:K18"/>
    <mergeCell ref="L17:L18"/>
  </mergeCells>
  <phoneticPr fontId="7" type="noConversion"/>
  <pageMargins left="0.25" right="0.25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6"/>
  <sheetViews>
    <sheetView workbookViewId="0">
      <selection activeCell="D26" sqref="D26"/>
    </sheetView>
  </sheetViews>
  <sheetFormatPr baseColWidth="10" defaultColWidth="8.83203125" defaultRowHeight="15" x14ac:dyDescent="0"/>
  <cols>
    <col min="1" max="5" width="13" style="2" customWidth="1"/>
    <col min="6" max="6" width="12" style="2" customWidth="1"/>
    <col min="7" max="16384" width="8.83203125" style="2"/>
  </cols>
  <sheetData>
    <row r="2" spans="1:10">
      <c r="A2" s="257" t="s">
        <v>200</v>
      </c>
      <c r="B2" s="257"/>
      <c r="C2" s="257"/>
      <c r="D2" s="257"/>
      <c r="E2" s="257"/>
      <c r="F2" s="257"/>
      <c r="G2" s="9"/>
      <c r="H2" s="9"/>
      <c r="I2" s="9"/>
    </row>
    <row r="4" spans="1:10">
      <c r="A4" s="258" t="s">
        <v>201</v>
      </c>
      <c r="B4" s="258"/>
      <c r="C4" s="258"/>
      <c r="D4" s="258"/>
      <c r="E4" s="258"/>
      <c r="F4" s="258"/>
      <c r="G4" s="23"/>
      <c r="H4" s="23"/>
      <c r="I4" s="23"/>
    </row>
    <row r="5" spans="1:10">
      <c r="A5" s="14" t="s">
        <v>202</v>
      </c>
      <c r="B5" s="14"/>
      <c r="C5" s="14"/>
      <c r="D5" s="14"/>
      <c r="E5" s="14"/>
      <c r="F5" s="14"/>
      <c r="G5" s="14"/>
      <c r="H5" s="14"/>
      <c r="I5" s="14"/>
      <c r="J5" s="14"/>
    </row>
    <row r="6" spans="1:10">
      <c r="A6" s="14" t="s">
        <v>203</v>
      </c>
      <c r="B6" s="14"/>
      <c r="C6" s="14"/>
      <c r="D6" s="14"/>
      <c r="E6" s="14"/>
      <c r="F6" s="14"/>
      <c r="G6" s="14"/>
      <c r="H6" s="14"/>
      <c r="I6" s="14"/>
      <c r="J6" s="14"/>
    </row>
    <row r="7" spans="1:10">
      <c r="A7" s="14" t="s">
        <v>204</v>
      </c>
      <c r="B7" s="14"/>
      <c r="C7" s="14"/>
      <c r="D7" s="14"/>
      <c r="E7" s="14"/>
      <c r="F7" s="14"/>
      <c r="G7" s="14"/>
      <c r="H7" s="14"/>
      <c r="I7" s="14"/>
      <c r="J7" s="14"/>
    </row>
    <row r="8" spans="1:10">
      <c r="A8" s="14"/>
      <c r="B8" s="14"/>
      <c r="C8" s="14"/>
      <c r="D8" s="14"/>
      <c r="E8" s="14"/>
      <c r="F8" s="14"/>
      <c r="G8" s="14"/>
      <c r="H8" s="14"/>
      <c r="I8" s="14"/>
      <c r="J8" s="14"/>
    </row>
    <row r="10" spans="1:10" ht="26.25" customHeight="1">
      <c r="A10" s="13" t="s">
        <v>205</v>
      </c>
      <c r="B10" s="13" t="s">
        <v>206</v>
      </c>
      <c r="C10" s="13" t="s">
        <v>207</v>
      </c>
      <c r="D10" s="13" t="s">
        <v>208</v>
      </c>
      <c r="E10" s="13" t="s">
        <v>209</v>
      </c>
      <c r="F10" s="13" t="s">
        <v>210</v>
      </c>
    </row>
    <row r="11" spans="1:10">
      <c r="A11" s="40"/>
      <c r="B11" s="13"/>
      <c r="C11" s="13"/>
      <c r="D11" s="13"/>
      <c r="E11" s="13"/>
      <c r="F11" s="13"/>
    </row>
    <row r="12" spans="1:10">
      <c r="A12" s="13"/>
      <c r="B12" s="13"/>
      <c r="C12" s="13"/>
      <c r="D12" s="13"/>
      <c r="E12" s="13"/>
      <c r="F12" s="13"/>
    </row>
    <row r="13" spans="1:10">
      <c r="A13" s="13"/>
      <c r="B13" s="13"/>
      <c r="C13" s="13" t="s">
        <v>211</v>
      </c>
      <c r="D13" s="13" t="s">
        <v>212</v>
      </c>
      <c r="E13" s="13"/>
      <c r="F13" s="13"/>
    </row>
    <row r="14" spans="1:10">
      <c r="A14" s="13"/>
      <c r="B14" s="13"/>
      <c r="C14" s="13"/>
      <c r="D14" s="13"/>
      <c r="E14" s="40"/>
      <c r="F14" s="13"/>
    </row>
    <row r="15" spans="1:10">
      <c r="A15" s="13"/>
      <c r="B15" s="13"/>
      <c r="C15" s="13"/>
      <c r="D15" s="13"/>
      <c r="E15" s="13"/>
      <c r="F15" s="13"/>
    </row>
    <row r="16" spans="1:10">
      <c r="A16" s="13"/>
      <c r="B16" s="13"/>
      <c r="C16" s="13"/>
      <c r="D16" s="13"/>
      <c r="E16" s="13"/>
      <c r="F16" s="13"/>
    </row>
    <row r="17" spans="1:6">
      <c r="A17" s="92"/>
      <c r="B17" s="92"/>
      <c r="C17" s="5"/>
      <c r="D17" s="13"/>
      <c r="E17" s="13"/>
      <c r="F17" s="13"/>
    </row>
    <row r="19" spans="1:6">
      <c r="A19" s="259" t="s">
        <v>213</v>
      </c>
      <c r="B19" s="259"/>
      <c r="C19" s="259"/>
      <c r="D19" s="259"/>
      <c r="E19" s="259"/>
      <c r="F19" s="259"/>
    </row>
    <row r="20" spans="1:6">
      <c r="A20" s="120" t="s">
        <v>214</v>
      </c>
      <c r="B20" s="258"/>
      <c r="C20" s="258"/>
      <c r="D20" s="258"/>
      <c r="E20" s="258"/>
      <c r="F20" s="258"/>
    </row>
    <row r="23" spans="1:6" s="24" customFormat="1" ht="25" customHeight="1">
      <c r="A23" s="93" t="s">
        <v>215</v>
      </c>
      <c r="B23" s="260" t="s">
        <v>220</v>
      </c>
      <c r="C23" s="260"/>
      <c r="E23" s="93" t="s">
        <v>216</v>
      </c>
      <c r="F23" s="94" t="s">
        <v>222</v>
      </c>
    </row>
    <row r="24" spans="1:6" s="24" customFormat="1" ht="25" customHeight="1">
      <c r="A24" s="93" t="s">
        <v>72</v>
      </c>
      <c r="B24" s="95" t="s">
        <v>221</v>
      </c>
      <c r="C24" s="96"/>
      <c r="E24" s="93" t="s">
        <v>72</v>
      </c>
      <c r="F24" s="94" t="s">
        <v>223</v>
      </c>
    </row>
    <row r="25" spans="1:6" s="24" customFormat="1" ht="25" customHeight="1">
      <c r="A25" s="93" t="s">
        <v>73</v>
      </c>
      <c r="B25" s="95" t="s">
        <v>74</v>
      </c>
      <c r="C25" s="96"/>
      <c r="E25" s="93" t="s">
        <v>73</v>
      </c>
      <c r="F25" s="95" t="s">
        <v>74</v>
      </c>
    </row>
    <row r="26" spans="1:6" s="24" customFormat="1" ht="25" customHeight="1">
      <c r="A26" s="93" t="s">
        <v>75</v>
      </c>
      <c r="B26" s="97">
        <v>42297</v>
      </c>
      <c r="C26" s="96"/>
      <c r="E26" s="93" t="s">
        <v>75</v>
      </c>
      <c r="F26" s="97">
        <v>42297</v>
      </c>
    </row>
  </sheetData>
  <mergeCells count="5">
    <mergeCell ref="A2:F2"/>
    <mergeCell ref="A4:F4"/>
    <mergeCell ref="A19:F19"/>
    <mergeCell ref="A20:F20"/>
    <mergeCell ref="B23:C23"/>
  </mergeCells>
  <phoneticPr fontId="7" type="noConversion"/>
  <pageMargins left="0.7" right="0.7" top="0.75" bottom="0.75" header="0.3" footer="0.3"/>
  <pageSetup paperSize="9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P1</vt:lpstr>
      <vt:lpstr>P2</vt:lpstr>
      <vt:lpstr>P3</vt:lpstr>
      <vt:lpstr>P4</vt:lpstr>
      <vt:lpstr>P5</vt:lpstr>
      <vt:lpstr>P6</vt:lpstr>
    </vt:vector>
  </TitlesOfParts>
  <Company>Fung Tak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Chun Yin lau</cp:lastModifiedBy>
  <cp:lastPrinted>2015-10-20T07:38:22Z</cp:lastPrinted>
  <dcterms:created xsi:type="dcterms:W3CDTF">2004-09-06T06:42:44Z</dcterms:created>
  <dcterms:modified xsi:type="dcterms:W3CDTF">2018-06-12T08:56:23Z</dcterms:modified>
</cp:coreProperties>
</file>